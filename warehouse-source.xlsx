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ork\Desktop\"/>
    </mc:Choice>
  </mc:AlternateContent>
  <xr:revisionPtr revIDLastSave="0" documentId="13_ncr:1_{43F02CF6-7F6B-4115-B2C9-548F8E0F8D89}" xr6:coauthVersionLast="47" xr6:coauthVersionMax="47" xr10:uidLastSave="{00000000-0000-0000-0000-000000000000}"/>
  <bookViews>
    <workbookView xWindow="-120" yWindow="-120" windowWidth="21840" windowHeight="13140" activeTab="2" xr2:uid="{00000000-000D-0000-FFFF-FFFF00000000}"/>
  </bookViews>
  <sheets>
    <sheet name="کالاها" sheetId="6" r:id="rId1"/>
    <sheet name="رسید انبار" sheetId="2" r:id="rId2"/>
    <sheet name="خروج انبار" sheetId="3" r:id="rId3"/>
    <sheet name="موجودی" sheetId="4" r:id="rId4"/>
    <sheet name="فرم رسید" sheetId="8" r:id="rId5"/>
    <sheet name="فرم خروج" sheetId="9" r:id="rId6"/>
    <sheet name="گزارشات" sheetId="5" r:id="rId7"/>
    <sheet name="موجودی مبنا" sheetId="11" r:id="rId8"/>
  </sheets>
  <definedNames>
    <definedName name="_xlnm._FilterDatabase" localSheetId="3" hidden="1">موجودی!$A$1:$J$29</definedName>
    <definedName name="Codelist">کالاها!$I$2:$I$5</definedName>
    <definedName name="lstkala">"[کدکالا]tblkala="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H10" i="5" s="1"/>
  <c r="G17" i="5" a="1"/>
  <c r="G17" i="5" s="1"/>
  <c r="A13" i="5" a="1"/>
  <c r="A13" i="5" s="1"/>
  <c r="C10" i="5"/>
  <c r="B10" i="5" a="1"/>
  <c r="B10" i="5" s="1"/>
  <c r="A10" i="5" a="1"/>
  <c r="A10" i="5" s="1"/>
  <c r="I29" i="4"/>
  <c r="F29" i="4"/>
  <c r="E29" i="4"/>
  <c r="D29" i="4"/>
  <c r="C29" i="4"/>
  <c r="B29" i="4"/>
  <c r="G29" i="4" s="1"/>
  <c r="I24" i="4"/>
  <c r="F24" i="4"/>
  <c r="E24" i="4"/>
  <c r="D24" i="4"/>
  <c r="C24" i="4"/>
  <c r="B24" i="4"/>
  <c r="G24" i="4" s="1"/>
  <c r="H24" i="4" s="1"/>
  <c r="A6" i="5"/>
  <c r="E2" i="2"/>
  <c r="G3" i="4"/>
  <c r="G4" i="4"/>
  <c r="G5" i="4"/>
  <c r="G6" i="4"/>
  <c r="G7" i="4"/>
  <c r="G8" i="4"/>
  <c r="G9" i="4"/>
  <c r="G10" i="4"/>
  <c r="G11" i="4"/>
  <c r="G2" i="4"/>
  <c r="E5" i="9"/>
  <c r="C5" i="9"/>
  <c r="G3" i="3"/>
  <c r="G4" i="3"/>
  <c r="G5" i="3"/>
  <c r="E3" i="3"/>
  <c r="E4" i="3"/>
  <c r="E5" i="3"/>
  <c r="E6" i="3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5" i="4"/>
  <c r="I26" i="4"/>
  <c r="I27" i="4"/>
  <c r="I28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5" i="4"/>
  <c r="F26" i="4"/>
  <c r="F27" i="4"/>
  <c r="F28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5" i="4"/>
  <c r="E26" i="4"/>
  <c r="E27" i="4"/>
  <c r="E28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5" i="4"/>
  <c r="D26" i="4"/>
  <c r="D27" i="4"/>
  <c r="D28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5" i="4"/>
  <c r="C26" i="4"/>
  <c r="C27" i="4"/>
  <c r="C28" i="4"/>
  <c r="B12" i="4"/>
  <c r="G12" i="4" s="1"/>
  <c r="B13" i="4"/>
  <c r="G13" i="4" s="1"/>
  <c r="B14" i="4"/>
  <c r="G14" i="4" s="1"/>
  <c r="B15" i="4"/>
  <c r="G15" i="4" s="1"/>
  <c r="B16" i="4"/>
  <c r="G16" i="4" s="1"/>
  <c r="B17" i="4"/>
  <c r="G17" i="4" s="1"/>
  <c r="B18" i="4"/>
  <c r="G18" i="4" s="1"/>
  <c r="B19" i="4"/>
  <c r="G19" i="4" s="1"/>
  <c r="B20" i="4"/>
  <c r="G20" i="4" s="1"/>
  <c r="B21" i="4"/>
  <c r="G21" i="4" s="1"/>
  <c r="B22" i="4"/>
  <c r="G22" i="4" s="1"/>
  <c r="B23" i="4"/>
  <c r="G23" i="4" s="1"/>
  <c r="B25" i="4"/>
  <c r="G25" i="4" s="1"/>
  <c r="B26" i="4"/>
  <c r="G26" i="4" s="1"/>
  <c r="B27" i="4"/>
  <c r="G27" i="4" s="1"/>
  <c r="B28" i="4"/>
  <c r="G28" i="4" s="1"/>
  <c r="B3" i="4"/>
  <c r="B4" i="4"/>
  <c r="B5" i="4"/>
  <c r="B6" i="4"/>
  <c r="B7" i="4"/>
  <c r="B8" i="4"/>
  <c r="B9" i="4"/>
  <c r="B10" i="4"/>
  <c r="B11" i="4"/>
  <c r="F2" i="4"/>
  <c r="C4" i="9"/>
  <c r="E7" i="8" a="1"/>
  <c r="E7" i="8" s="1"/>
  <c r="C7" i="8" a="1"/>
  <c r="C7" i="8" s="1"/>
  <c r="A7" i="8" a="1"/>
  <c r="A7" i="8" s="1"/>
  <c r="C4" i="8"/>
  <c r="I2" i="4"/>
  <c r="E2" i="4"/>
  <c r="D2" i="4"/>
  <c r="C2" i="4"/>
  <c r="B2" i="4"/>
  <c r="G2" i="3"/>
  <c r="E2" i="3"/>
  <c r="E3" i="2"/>
  <c r="G2" i="2"/>
  <c r="G3" i="2"/>
  <c r="H8" i="5" l="1"/>
  <c r="H9" i="5"/>
  <c r="H29" i="4"/>
  <c r="J29" i="4" s="1"/>
  <c r="J24" i="4"/>
  <c r="A8" i="9" a="1"/>
  <c r="A8" i="9" s="1"/>
  <c r="H2" i="4"/>
  <c r="H25" i="4"/>
  <c r="J25" i="4" s="1"/>
  <c r="H20" i="4"/>
  <c r="J20" i="4" s="1"/>
  <c r="H16" i="4"/>
  <c r="J16" i="4" s="1"/>
  <c r="H12" i="4"/>
  <c r="J12" i="4" s="1"/>
  <c r="H8" i="4"/>
  <c r="J8" i="4" s="1"/>
  <c r="H4" i="4"/>
  <c r="J4" i="4" s="1"/>
  <c r="H28" i="4"/>
  <c r="J28" i="4" s="1"/>
  <c r="H23" i="4"/>
  <c r="J23" i="4" s="1"/>
  <c r="H19" i="4"/>
  <c r="J19" i="4" s="1"/>
  <c r="H15" i="4"/>
  <c r="J15" i="4" s="1"/>
  <c r="H11" i="4"/>
  <c r="J11" i="4" s="1"/>
  <c r="H7" i="4"/>
  <c r="J7" i="4" s="1"/>
  <c r="H3" i="4"/>
  <c r="J3" i="4" s="1"/>
  <c r="H6" i="4"/>
  <c r="J6" i="4" s="1"/>
  <c r="H26" i="4"/>
  <c r="J26" i="4" s="1"/>
  <c r="H21" i="4"/>
  <c r="J21" i="4" s="1"/>
  <c r="H17" i="4"/>
  <c r="J17" i="4" s="1"/>
  <c r="H13" i="4"/>
  <c r="J13" i="4" s="1"/>
  <c r="H9" i="4"/>
  <c r="J9" i="4" s="1"/>
  <c r="H5" i="4"/>
  <c r="J5" i="4" s="1"/>
  <c r="H27" i="4"/>
  <c r="J27" i="4" s="1"/>
  <c r="H22" i="4"/>
  <c r="J22" i="4" s="1"/>
  <c r="H18" i="4"/>
  <c r="J18" i="4" s="1"/>
  <c r="H14" i="4"/>
  <c r="J14" i="4" s="1"/>
  <c r="H10" i="4"/>
  <c r="J10" i="4" s="1"/>
  <c r="D7" i="8" a="1"/>
  <c r="D7" i="8" s="1"/>
  <c r="B7" i="8" a="1"/>
  <c r="B7" i="8" s="1"/>
  <c r="J2" i="4" l="1"/>
  <c r="A16" i="5" a="1"/>
  <c r="A16" i="5" s="1"/>
  <c r="H11" i="5"/>
  <c r="D6" i="5" l="1"/>
  <c r="B6" i="5"/>
  <c r="C6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<sst xmlns="http://schemas.openxmlformats.org/spreadsheetml/2006/main" count="422" uniqueCount="146">
  <si>
    <t>ردیف</t>
  </si>
  <si>
    <t>واحد</t>
  </si>
  <si>
    <t>کد کالا</t>
  </si>
  <si>
    <t>عنوان کالا</t>
  </si>
  <si>
    <t>گروه</t>
  </si>
  <si>
    <t>زیرگروه</t>
  </si>
  <si>
    <t>حداقل موجودی</t>
  </si>
  <si>
    <t>توضیحات</t>
  </si>
  <si>
    <t>شماره رسید</t>
  </si>
  <si>
    <t>تاریخ</t>
  </si>
  <si>
    <t>مقدار</t>
  </si>
  <si>
    <t>عدد</t>
  </si>
  <si>
    <t>صفحه ساب</t>
  </si>
  <si>
    <t>شماره حواله</t>
  </si>
  <si>
    <t>تحویل گیرنده</t>
  </si>
  <si>
    <t>کل وارده</t>
  </si>
  <si>
    <t>کل خروجی</t>
  </si>
  <si>
    <t>موجودی فعلی</t>
  </si>
  <si>
    <t>وضعیت</t>
  </si>
  <si>
    <t>پروژه توسعه هتل ایرانیان</t>
  </si>
  <si>
    <t>رسید انبار</t>
  </si>
  <si>
    <t>انباردار</t>
  </si>
  <si>
    <t>سرپرست کارگاه</t>
  </si>
  <si>
    <t>مدیر کارگاه</t>
  </si>
  <si>
    <t>دستکش کارگری روکشدار</t>
  </si>
  <si>
    <t>جفت</t>
  </si>
  <si>
    <t>حواله خروج انبار</t>
  </si>
  <si>
    <t>K001</t>
  </si>
  <si>
    <t>استاد CW 75*3000</t>
  </si>
  <si>
    <t>کناف</t>
  </si>
  <si>
    <t>استاد</t>
  </si>
  <si>
    <t>شاخه</t>
  </si>
  <si>
    <t>K002</t>
  </si>
  <si>
    <t>K003</t>
  </si>
  <si>
    <t>استاد CW 100*3000</t>
  </si>
  <si>
    <t>استاد C 70*3500</t>
  </si>
  <si>
    <t>K004</t>
  </si>
  <si>
    <t>K005</t>
  </si>
  <si>
    <t>K006</t>
  </si>
  <si>
    <t>K007</t>
  </si>
  <si>
    <t>K008</t>
  </si>
  <si>
    <t>K009</t>
  </si>
  <si>
    <t>K010</t>
  </si>
  <si>
    <t>K011</t>
  </si>
  <si>
    <t>K012</t>
  </si>
  <si>
    <t>K013</t>
  </si>
  <si>
    <t>K014</t>
  </si>
  <si>
    <t>K015</t>
  </si>
  <si>
    <t>رانر UW 70*4000</t>
  </si>
  <si>
    <t>رانر UW 75*4000</t>
  </si>
  <si>
    <t>رانر UW 100*4000</t>
  </si>
  <si>
    <t>رانر</t>
  </si>
  <si>
    <t>پنل گچی 84 برگی MR_AK_H2</t>
  </si>
  <si>
    <t>پنل گچی 92 برگی RGPRO_AK</t>
  </si>
  <si>
    <t>پنل گچی 100 برگی جی برد</t>
  </si>
  <si>
    <t>پنل</t>
  </si>
  <si>
    <t>برگ</t>
  </si>
  <si>
    <t>پیچ پنل 25 میلی TN25</t>
  </si>
  <si>
    <t>پیچ پنل 35 میلی TN35</t>
  </si>
  <si>
    <t>پیچ پنل</t>
  </si>
  <si>
    <t>بسته</t>
  </si>
  <si>
    <t>پیچ سازه 3.5*9.5 VASSA</t>
  </si>
  <si>
    <t>پیچ سرمته 3.5*9.5 SSB</t>
  </si>
  <si>
    <t>پیچ سرمته 3.5*9.5 LB</t>
  </si>
  <si>
    <t>پیچ سرمته 3.5*25 TB</t>
  </si>
  <si>
    <t>پیچ سرمته 3.5*45 TB</t>
  </si>
  <si>
    <t>پیچ سازه</t>
  </si>
  <si>
    <t>پیچ سرمته</t>
  </si>
  <si>
    <t>K016</t>
  </si>
  <si>
    <t>K017</t>
  </si>
  <si>
    <t>میخ و چاشنی</t>
  </si>
  <si>
    <t>T001</t>
  </si>
  <si>
    <t>T002</t>
  </si>
  <si>
    <t>T003</t>
  </si>
  <si>
    <t>T004</t>
  </si>
  <si>
    <t>T005</t>
  </si>
  <si>
    <t>صفحه استیل بر بزرگ</t>
  </si>
  <si>
    <t>صفحه ساب بزرگ</t>
  </si>
  <si>
    <t>مته 4 شیار کوتاه نمره 10</t>
  </si>
  <si>
    <t>مته 4 شیار بلند نمره 10</t>
  </si>
  <si>
    <t>ابزار و ملزومات  عمومی</t>
  </si>
  <si>
    <t>صفحه برش</t>
  </si>
  <si>
    <t xml:space="preserve">مته </t>
  </si>
  <si>
    <t>مته</t>
  </si>
  <si>
    <t>لوازم حفاظت فردی</t>
  </si>
  <si>
    <t>C001</t>
  </si>
  <si>
    <t>ضد زنگ سناتور</t>
  </si>
  <si>
    <t>رنگ و نقاشی</t>
  </si>
  <si>
    <t>ضد زنگ</t>
  </si>
  <si>
    <t>C002</t>
  </si>
  <si>
    <t>تینر</t>
  </si>
  <si>
    <t>تینر و حلال</t>
  </si>
  <si>
    <t>لیتر</t>
  </si>
  <si>
    <t>S001</t>
  </si>
  <si>
    <t>قوطی 40*80</t>
  </si>
  <si>
    <t>مصالح ساختمانی</t>
  </si>
  <si>
    <t>مقاطع فولادی</t>
  </si>
  <si>
    <t>S002</t>
  </si>
  <si>
    <t>میخ 6 سانتی</t>
  </si>
  <si>
    <t>میخ و متعلقات</t>
  </si>
  <si>
    <t>کد  کالا</t>
  </si>
  <si>
    <t>مقدار مبنا</t>
  </si>
  <si>
    <t>تاریخ مبنا</t>
  </si>
  <si>
    <t>1405/06/14</t>
  </si>
  <si>
    <t>هر بسته 1000 عدد</t>
  </si>
  <si>
    <t>هر بسته 100 عدد</t>
  </si>
  <si>
    <t>محل مصرف</t>
  </si>
  <si>
    <t>T006</t>
  </si>
  <si>
    <t>الکترود 3/2 میکا</t>
  </si>
  <si>
    <t>ملزومات جوشکاری</t>
  </si>
  <si>
    <t>هر بسته 5 کیلو</t>
  </si>
  <si>
    <t>گزارشات انبار</t>
  </si>
  <si>
    <t>وضعیت کلی انبار</t>
  </si>
  <si>
    <t>تعداد کالاها</t>
  </si>
  <si>
    <t>موجودی مناسب</t>
  </si>
  <si>
    <t>موجودی کم</t>
  </si>
  <si>
    <t>تمام شده</t>
  </si>
  <si>
    <t>آخرین ورود به انبار</t>
  </si>
  <si>
    <t>تعداد اقلام</t>
  </si>
  <si>
    <t>آخرین خروج از انبار</t>
  </si>
  <si>
    <t>هشدار موجودی</t>
  </si>
  <si>
    <t>موجودی</t>
  </si>
  <si>
    <t>حداقل</t>
  </si>
  <si>
    <t>گزارش یک کالا</t>
  </si>
  <si>
    <t>انتخاب کالا</t>
  </si>
  <si>
    <t>K018</t>
  </si>
  <si>
    <t>استاد C 100*3500</t>
  </si>
  <si>
    <t>1405/06/17</t>
  </si>
  <si>
    <t>برگ خروج انبار 3539 (1050 متر طول)</t>
  </si>
  <si>
    <t>برگ خروج انبار 3540 (2625 متر طول)</t>
  </si>
  <si>
    <t>R-050617-173</t>
  </si>
  <si>
    <t>موجودی مبنا</t>
  </si>
  <si>
    <t>ریز گردش کالا</t>
  </si>
  <si>
    <t>نوع</t>
  </si>
  <si>
    <t>شماره</t>
  </si>
  <si>
    <t>H-050617-1</t>
  </si>
  <si>
    <t>قهرمانی</t>
  </si>
  <si>
    <t>طبقه اول</t>
  </si>
  <si>
    <t>خروج آزمایشی</t>
  </si>
  <si>
    <t>مانده</t>
  </si>
  <si>
    <t>1405/06/18</t>
  </si>
  <si>
    <t>1405/06/19</t>
  </si>
  <si>
    <t>H-050617-2</t>
  </si>
  <si>
    <t>تیم قهرمانی</t>
  </si>
  <si>
    <t>آزمایشی</t>
  </si>
  <si>
    <t>H-050617-3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</si>
</sst>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B Nazanin"/>
      <charset val="178"/>
    </font>
    <font>
      <b/>
      <sz val="12"/>
      <color theme="1"/>
      <name val="B Nazanin"/>
      <charset val="178"/>
    </font>
    <font>
      <b/>
      <sz val="11"/>
      <color theme="1"/>
      <name val="B Nazanin"/>
      <charset val="178"/>
    </font>
    <font>
      <b/>
      <sz val="14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2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vertical="top"/>
    </xf>
    <xf numFmtId="0" fontId="0" fillId="0" borderId="6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left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0" xfId="0" applyBorder="1" applyAlignment="1">
      <alignment horizontal="center"/>
    </xf>
    <xf numFmtId="0" fontId="9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top"/>
    </xf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  <xf numFmtId="0" fontId="0" fillId="3" borderId="0" xfId="0" applyFill="1" applyAlignment="1">
      <alignment horizontal="center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6" xfId="0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0" fillId="2" borderId="17" xfId="0" applyFont="1" applyFill="1" applyBorder="1" applyAlignment="1">
      <alignment horizontal="center" vertical="top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0" borderId="20" xfId="0" applyBorder="1" applyAlignment="1">
      <alignment horizontal="center" vertical="top"/>
    </xf>
  </cellXfs>
  <cellStyles count="1">
    <cellStyle name="Normal" xfId="0" builtinId="0"/>
  </cellStyles>
  <dxfs count="40"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9CBFD2-2AC2-433F-9662-32BD9036D34C}" name="tblkala" displayName="tblkala" ref="A1:G29" totalsRowShown="0" headerRowDxfId="31" dataDxfId="29" headerRowBorderDxfId="30" tableBorderDxfId="28" totalsRowBorderDxfId="27">
  <autoFilter ref="A1:G29" xr:uid="{279CBFD2-2AC2-433F-9662-32BD9036D34C}"/>
  <tableColumns count="7">
    <tableColumn id="1" xr3:uid="{148E244A-7F43-42C6-9787-E5D8735C5902}" name="کد  کالا" dataDxfId="26"/>
    <tableColumn id="2" xr3:uid="{43E86D7D-9E75-47C4-9F50-3811296F5D01}" name="عنوان کالا" dataDxfId="25"/>
    <tableColumn id="3" xr3:uid="{5A5F8A33-8AAC-4B49-AD51-0219D1549F82}" name="گروه" dataDxfId="24"/>
    <tableColumn id="4" xr3:uid="{68A6FE96-BB6C-47CE-BAF3-A4CFC1C7070E}" name="زیرگروه" dataDxfId="23"/>
    <tableColumn id="5" xr3:uid="{0E7081B2-3B76-455F-97B7-FE57F5B24AD2}" name="واحد" dataDxfId="22"/>
    <tableColumn id="6" xr3:uid="{D1166D98-ACD6-41F8-A7BC-9F140BE67088}" name="حداقل موجودی" dataDxfId="21"/>
    <tableColumn id="7" xr3:uid="{C601BDE2-F9B9-42D1-B12D-B95A9AD1B607}" name="توضیحات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6114BF-3D58-4F0A-9D7F-7D063CBCEC71}" name="tblvorood" displayName="tblvorood" ref="A1:H7" totalsRowShown="0" headerRowDxfId="19">
  <autoFilter ref="A1:H7" xr:uid="{646114BF-3D58-4F0A-9D7F-7D063CBCEC71}"/>
  <tableColumns count="8">
    <tableColumn id="1" xr3:uid="{627C171E-63BF-4A3C-90DE-4CFC28D0D1CD}" name="شماره رسید" dataDxfId="18"/>
    <tableColumn id="2" xr3:uid="{677D1096-D899-40E3-B1F6-04997B3AF8E1}" name="تاریخ" dataDxfId="17"/>
    <tableColumn id="3" xr3:uid="{EA071B89-B617-4FCF-B459-896469F0AB8B}" name="ردیف" dataDxfId="16"/>
    <tableColumn id="4" xr3:uid="{A022E81B-C7F4-4327-9277-8BFAFB1F7BFC}" name="کد کالا" dataDxfId="15"/>
    <tableColumn id="5" xr3:uid="{4B5C5F2B-6172-4B80-AB31-3DEA5CD33B4D}" name="عنوان کالا" dataDxfId="14">
      <calculatedColumnFormula>IFERROR(_xlfn.XLOOKUP(D2,tblkala[کد  کالا],tblkala[عنوان کالا],""),"")</calculatedColumnFormula>
    </tableColumn>
    <tableColumn id="6" xr3:uid="{C9CE9F8C-BB2E-40B8-A6C4-DBB58472EA6E}" name="مقدار" dataDxfId="13"/>
    <tableColumn id="7" xr3:uid="{937AFE89-5466-44C3-B59E-DA55912441FE}" name="واحد" dataDxfId="12">
      <calculatedColumnFormula>IFERROR(_xlfn.XLOOKUP(D2,tblkala[کد  کالا],tblkala[واحد],""),"")</calculatedColumnFormula>
    </tableColumn>
    <tableColumn id="8" xr3:uid="{306C5378-106D-47E4-B61C-92C4CB871D65}" name="توضیحات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B5F06D-1838-4241-9D83-054BE1C79FD2}" name="tblkhorooj" displayName="tblkhorooj" ref="A1:J6" totalsRowShown="0" headerRowDxfId="39">
  <autoFilter ref="A1:J6" xr:uid="{32B5F06D-1838-4241-9D83-054BE1C79FD2}"/>
  <tableColumns count="10">
    <tableColumn id="1" xr3:uid="{547F3829-8E7E-4239-B7F5-B439C80216AD}" name="شماره حواله" dataDxfId="38"/>
    <tableColumn id="2" xr3:uid="{17F4008B-1079-47E2-BF0D-7819E296486F}" name="تاریخ"/>
    <tableColumn id="3" xr3:uid="{0DA6E170-3670-446C-B238-78F930466C1D}" name="ردیف" dataDxfId="37"/>
    <tableColumn id="4" xr3:uid="{B063A55B-A15E-4487-9A02-CB1FF0CC4A19}" name="کد کالا"/>
    <tableColumn id="5" xr3:uid="{E5B24D1C-3166-4658-B852-B6BE009CD214}" name="عنوان کالا" dataDxfId="36">
      <calculatedColumnFormula>IFERROR(_xlfn.XLOOKUP(D2,tblkala[کد  کالا],tblkala[عنوان کالا],""),"")</calculatedColumnFormula>
    </tableColumn>
    <tableColumn id="6" xr3:uid="{D1CF82D4-73B1-4126-A389-9C9E1F8F8A57}" name="مقدار" dataDxfId="35"/>
    <tableColumn id="7" xr3:uid="{15EB6DFF-B6B0-4563-9490-EB434404C9E6}" name="واحد" dataDxfId="34">
      <calculatedColumnFormula>IFERROR(_xlfn.XLOOKUP(D2,tblkala[کد  کالا],tblkala[واحد],""),"")</calculatedColumnFormula>
    </tableColumn>
    <tableColumn id="8" xr3:uid="{43C3D014-A3CA-484E-8FB9-23397CB6BEF7}" name="تحویل گیرنده" dataDxfId="33"/>
    <tableColumn id="9" xr3:uid="{DC81FA74-BD76-4EFE-93FB-B684DBA4E31E}" name="محل مصرف" dataDxfId="32"/>
    <tableColumn id="10" xr3:uid="{CBA0F31D-9D38-436D-9480-8AF31ACAE0DC}" name="توضیحات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22F034-7F74-4326-9A16-FFAAC48E5E30}" name="tblMabna" displayName="tblMabna" ref="A1:F28" totalsRowShown="0" headerRowDxfId="10" dataDxfId="8" headerRowBorderDxfId="9" tableBorderDxfId="7" totalsRowBorderDxfId="6">
  <autoFilter ref="A1:F28" xr:uid="{9222F034-7F74-4326-9A16-FFAAC48E5E30}"/>
  <tableColumns count="6">
    <tableColumn id="1" xr3:uid="{BCF8F281-F8C0-40FC-AA38-E1C96D6E3A42}" name="کد کالا" dataDxfId="5"/>
    <tableColumn id="2" xr3:uid="{8E461470-58E8-478A-8C92-87C5A3E9320A}" name="عنوان کالا" dataDxfId="4"/>
    <tableColumn id="3" xr3:uid="{8E0DF9D7-2A52-435F-8381-D8D66529F5B6}" name="واحد" dataDxfId="3"/>
    <tableColumn id="4" xr3:uid="{3DFF3723-7252-47F4-8A67-636A2D7C8542}" name="مقدار مبنا" dataDxfId="2"/>
    <tableColumn id="5" xr3:uid="{98108D0C-E75C-4FF6-B341-C3B691D419E9}" name="تاریخ مبنا" dataDxfId="1"/>
    <tableColumn id="6" xr3:uid="{38C71A15-DFA8-492D-B903-A453CB62709B}" name="توضیحات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EBE21-4AF8-4013-A89F-EFF6DC46903A}">
  <sheetPr>
    <tabColor rgb="FFFFFF00"/>
  </sheetPr>
  <dimension ref="A1:G29"/>
  <sheetViews>
    <sheetView defaultGridColor="0" colorId="22" workbookViewId="0">
      <pane ySplit="1" topLeftCell="A5" activePane="bottomLeft" state="frozen"/>
      <selection pane="bottomLeft" activeCell="A12" sqref="A12"/>
    </sheetView>
  </sheetViews>
  <sheetFormatPr defaultRowHeight="15" x14ac:dyDescent="0.25"/>
  <cols>
    <col min="2" max="2" width="23" style="1" bestFit="1" customWidth="1"/>
    <col min="3" max="3" width="17.42578125" style="1" bestFit="1" customWidth="1"/>
    <col min="4" max="4" width="14.7109375" style="1" bestFit="1" customWidth="1"/>
    <col min="5" max="5" width="9" style="1" customWidth="1"/>
    <col min="6" max="6" width="16.28515625" style="2" customWidth="1"/>
    <col min="7" max="7" width="12.28515625" customWidth="1"/>
    <col min="9" max="9" width="10.42578125" bestFit="1" customWidth="1"/>
  </cols>
  <sheetData>
    <row r="1" spans="1:7" s="1" customFormat="1" x14ac:dyDescent="0.25">
      <c r="A1" s="5" t="s">
        <v>100</v>
      </c>
      <c r="B1" s="6" t="s">
        <v>3</v>
      </c>
      <c r="C1" s="6" t="s">
        <v>4</v>
      </c>
      <c r="D1" s="6" t="s">
        <v>5</v>
      </c>
      <c r="E1" s="6" t="s">
        <v>1</v>
      </c>
      <c r="F1" s="6" t="s">
        <v>6</v>
      </c>
      <c r="G1" s="7" t="s">
        <v>7</v>
      </c>
    </row>
    <row r="2" spans="1:7" x14ac:dyDescent="0.25">
      <c r="A2" s="8" t="s">
        <v>27</v>
      </c>
      <c r="B2" s="12" t="s">
        <v>28</v>
      </c>
      <c r="C2" s="12" t="s">
        <v>29</v>
      </c>
      <c r="D2" s="12" t="s">
        <v>30</v>
      </c>
      <c r="E2" s="12" t="s">
        <v>31</v>
      </c>
      <c r="F2" s="18"/>
      <c r="G2" s="9"/>
    </row>
    <row r="3" spans="1:7" x14ac:dyDescent="0.25">
      <c r="A3" s="8" t="s">
        <v>32</v>
      </c>
      <c r="B3" s="12" t="s">
        <v>34</v>
      </c>
      <c r="C3" s="12" t="s">
        <v>29</v>
      </c>
      <c r="D3" s="12" t="s">
        <v>30</v>
      </c>
      <c r="E3" s="12" t="s">
        <v>31</v>
      </c>
      <c r="F3" s="18"/>
      <c r="G3" s="9"/>
    </row>
    <row r="4" spans="1:7" x14ac:dyDescent="0.25">
      <c r="A4" s="8" t="s">
        <v>33</v>
      </c>
      <c r="B4" s="12" t="s">
        <v>35</v>
      </c>
      <c r="C4" s="12" t="s">
        <v>29</v>
      </c>
      <c r="D4" s="12" t="s">
        <v>30</v>
      </c>
      <c r="E4" s="12" t="s">
        <v>31</v>
      </c>
      <c r="F4" s="18"/>
      <c r="G4" s="9"/>
    </row>
    <row r="5" spans="1:7" x14ac:dyDescent="0.25">
      <c r="A5" s="8" t="s">
        <v>36</v>
      </c>
      <c r="B5" s="12" t="s">
        <v>48</v>
      </c>
      <c r="C5" s="12" t="s">
        <v>29</v>
      </c>
      <c r="D5" s="12" t="s">
        <v>51</v>
      </c>
      <c r="E5" s="12" t="s">
        <v>31</v>
      </c>
      <c r="F5" s="18"/>
      <c r="G5" s="9"/>
    </row>
    <row r="6" spans="1:7" x14ac:dyDescent="0.25">
      <c r="A6" s="8" t="s">
        <v>37</v>
      </c>
      <c r="B6" s="13" t="s">
        <v>49</v>
      </c>
      <c r="C6" s="13" t="s">
        <v>29</v>
      </c>
      <c r="D6" s="13" t="s">
        <v>51</v>
      </c>
      <c r="E6" s="13" t="s">
        <v>31</v>
      </c>
      <c r="F6" s="19"/>
      <c r="G6" s="11"/>
    </row>
    <row r="7" spans="1:7" x14ac:dyDescent="0.25">
      <c r="A7" s="8" t="s">
        <v>38</v>
      </c>
      <c r="B7" s="12" t="s">
        <v>50</v>
      </c>
      <c r="C7" s="12" t="s">
        <v>29</v>
      </c>
      <c r="D7" s="12" t="s">
        <v>51</v>
      </c>
      <c r="E7" s="12" t="s">
        <v>31</v>
      </c>
      <c r="F7" s="18"/>
      <c r="G7" s="9"/>
    </row>
    <row r="8" spans="1:7" x14ac:dyDescent="0.25">
      <c r="A8" s="8" t="s">
        <v>39</v>
      </c>
      <c r="B8" s="12" t="s">
        <v>52</v>
      </c>
      <c r="C8" s="12" t="s">
        <v>29</v>
      </c>
      <c r="D8" s="12" t="s">
        <v>55</v>
      </c>
      <c r="E8" s="12" t="s">
        <v>56</v>
      </c>
      <c r="F8" s="18"/>
      <c r="G8" s="9"/>
    </row>
    <row r="9" spans="1:7" x14ac:dyDescent="0.25">
      <c r="A9" s="8" t="s">
        <v>40</v>
      </c>
      <c r="B9" s="12" t="s">
        <v>53</v>
      </c>
      <c r="C9" s="12" t="s">
        <v>29</v>
      </c>
      <c r="D9" s="12" t="s">
        <v>55</v>
      </c>
      <c r="E9" s="12" t="s">
        <v>56</v>
      </c>
      <c r="F9" s="18"/>
      <c r="G9" s="9"/>
    </row>
    <row r="10" spans="1:7" x14ac:dyDescent="0.25">
      <c r="A10" s="8" t="s">
        <v>41</v>
      </c>
      <c r="B10" s="12" t="s">
        <v>54</v>
      </c>
      <c r="C10" s="12" t="s">
        <v>29</v>
      </c>
      <c r="D10" s="12" t="s">
        <v>55</v>
      </c>
      <c r="E10" s="12" t="s">
        <v>56</v>
      </c>
      <c r="F10" s="18"/>
      <c r="G10" s="9"/>
    </row>
    <row r="11" spans="1:7" x14ac:dyDescent="0.25">
      <c r="A11" s="8" t="s">
        <v>42</v>
      </c>
      <c r="B11" s="12" t="s">
        <v>57</v>
      </c>
      <c r="C11" s="12" t="s">
        <v>29</v>
      </c>
      <c r="D11" s="12" t="s">
        <v>59</v>
      </c>
      <c r="E11" s="12" t="s">
        <v>60</v>
      </c>
      <c r="F11" s="18"/>
      <c r="G11" s="9"/>
    </row>
    <row r="12" spans="1:7" x14ac:dyDescent="0.25">
      <c r="A12" s="8" t="s">
        <v>43</v>
      </c>
      <c r="B12" s="12" t="s">
        <v>58</v>
      </c>
      <c r="C12" s="12" t="s">
        <v>29</v>
      </c>
      <c r="D12" s="12" t="s">
        <v>59</v>
      </c>
      <c r="E12" s="12" t="s">
        <v>60</v>
      </c>
      <c r="F12" s="18"/>
      <c r="G12" s="9"/>
    </row>
    <row r="13" spans="1:7" x14ac:dyDescent="0.25">
      <c r="A13" s="8" t="s">
        <v>44</v>
      </c>
      <c r="B13" s="12" t="s">
        <v>61</v>
      </c>
      <c r="C13" s="12" t="s">
        <v>29</v>
      </c>
      <c r="D13" s="12" t="s">
        <v>66</v>
      </c>
      <c r="E13" s="12" t="s">
        <v>60</v>
      </c>
      <c r="F13" s="18"/>
      <c r="G13" s="9"/>
    </row>
    <row r="14" spans="1:7" x14ac:dyDescent="0.25">
      <c r="A14" s="8" t="s">
        <v>45</v>
      </c>
      <c r="B14" s="12" t="s">
        <v>62</v>
      </c>
      <c r="C14" s="12" t="s">
        <v>29</v>
      </c>
      <c r="D14" s="12" t="s">
        <v>67</v>
      </c>
      <c r="E14" s="12" t="s">
        <v>60</v>
      </c>
      <c r="F14" s="18"/>
      <c r="G14" s="9"/>
    </row>
    <row r="15" spans="1:7" x14ac:dyDescent="0.25">
      <c r="A15" s="8" t="s">
        <v>46</v>
      </c>
      <c r="B15" s="12" t="s">
        <v>63</v>
      </c>
      <c r="C15" s="12" t="s">
        <v>29</v>
      </c>
      <c r="D15" s="12" t="s">
        <v>67</v>
      </c>
      <c r="E15" s="12" t="s">
        <v>60</v>
      </c>
      <c r="F15" s="18"/>
      <c r="G15" s="9"/>
    </row>
    <row r="16" spans="1:7" x14ac:dyDescent="0.25">
      <c r="A16" s="8" t="s">
        <v>47</v>
      </c>
      <c r="B16" s="12" t="s">
        <v>64</v>
      </c>
      <c r="C16" s="12" t="s">
        <v>29</v>
      </c>
      <c r="D16" s="12" t="s">
        <v>67</v>
      </c>
      <c r="E16" s="12" t="s">
        <v>60</v>
      </c>
      <c r="F16" s="18"/>
      <c r="G16" s="9"/>
    </row>
    <row r="17" spans="1:7" x14ac:dyDescent="0.25">
      <c r="A17" s="8" t="s">
        <v>68</v>
      </c>
      <c r="B17" s="13" t="s">
        <v>65</v>
      </c>
      <c r="C17" s="13" t="s">
        <v>29</v>
      </c>
      <c r="D17" s="13" t="s">
        <v>67</v>
      </c>
      <c r="E17" s="13" t="s">
        <v>60</v>
      </c>
      <c r="F17" s="19"/>
      <c r="G17" s="11"/>
    </row>
    <row r="18" spans="1:7" x14ac:dyDescent="0.25">
      <c r="A18" s="8" t="s">
        <v>69</v>
      </c>
      <c r="B18" s="12" t="s">
        <v>70</v>
      </c>
      <c r="C18" s="12" t="s">
        <v>29</v>
      </c>
      <c r="D18" s="12" t="s">
        <v>70</v>
      </c>
      <c r="E18" s="12" t="s">
        <v>60</v>
      </c>
      <c r="F18" s="18"/>
      <c r="G18" s="9"/>
    </row>
    <row r="19" spans="1:7" x14ac:dyDescent="0.25">
      <c r="A19" s="8" t="s">
        <v>125</v>
      </c>
      <c r="B19" s="12" t="s">
        <v>126</v>
      </c>
      <c r="C19" s="12" t="s">
        <v>29</v>
      </c>
      <c r="D19" s="12" t="s">
        <v>30</v>
      </c>
      <c r="E19" s="12" t="s">
        <v>31</v>
      </c>
      <c r="F19" s="18"/>
      <c r="G19" s="9"/>
    </row>
    <row r="20" spans="1:7" x14ac:dyDescent="0.25">
      <c r="A20" s="10" t="s">
        <v>71</v>
      </c>
      <c r="B20" s="13" t="s">
        <v>76</v>
      </c>
      <c r="C20" s="13" t="s">
        <v>80</v>
      </c>
      <c r="D20" s="13" t="s">
        <v>81</v>
      </c>
      <c r="E20" s="13" t="s">
        <v>11</v>
      </c>
      <c r="F20" s="19"/>
      <c r="G20" s="11"/>
    </row>
    <row r="21" spans="1:7" x14ac:dyDescent="0.25">
      <c r="A21" s="10" t="s">
        <v>72</v>
      </c>
      <c r="B21" s="13" t="s">
        <v>77</v>
      </c>
      <c r="C21" s="13" t="s">
        <v>80</v>
      </c>
      <c r="D21" s="13" t="s">
        <v>12</v>
      </c>
      <c r="E21" s="13" t="s">
        <v>11</v>
      </c>
      <c r="F21" s="19"/>
      <c r="G21" s="11"/>
    </row>
    <row r="22" spans="1:7" x14ac:dyDescent="0.25">
      <c r="A22" s="10" t="s">
        <v>73</v>
      </c>
      <c r="B22" s="13" t="s">
        <v>78</v>
      </c>
      <c r="C22" s="13" t="s">
        <v>80</v>
      </c>
      <c r="D22" s="13" t="s">
        <v>82</v>
      </c>
      <c r="E22" s="13" t="s">
        <v>11</v>
      </c>
      <c r="F22" s="19"/>
      <c r="G22" s="11"/>
    </row>
    <row r="23" spans="1:7" x14ac:dyDescent="0.25">
      <c r="A23" s="10" t="s">
        <v>74</v>
      </c>
      <c r="B23" s="12" t="s">
        <v>79</v>
      </c>
      <c r="C23" s="13" t="s">
        <v>80</v>
      </c>
      <c r="D23" s="12" t="s">
        <v>83</v>
      </c>
      <c r="E23" s="12" t="s">
        <v>11</v>
      </c>
      <c r="F23" s="18"/>
      <c r="G23" s="9"/>
    </row>
    <row r="24" spans="1:7" x14ac:dyDescent="0.25">
      <c r="A24" s="10" t="s">
        <v>75</v>
      </c>
      <c r="B24" s="12" t="s">
        <v>24</v>
      </c>
      <c r="C24" s="13" t="s">
        <v>80</v>
      </c>
      <c r="D24" s="12" t="s">
        <v>84</v>
      </c>
      <c r="E24" s="12" t="s">
        <v>25</v>
      </c>
      <c r="F24" s="18"/>
      <c r="G24" s="9"/>
    </row>
    <row r="25" spans="1:7" x14ac:dyDescent="0.25">
      <c r="A25" s="8" t="s">
        <v>107</v>
      </c>
      <c r="B25" s="12" t="s">
        <v>108</v>
      </c>
      <c r="C25" s="13" t="s">
        <v>80</v>
      </c>
      <c r="D25" s="12" t="s">
        <v>109</v>
      </c>
      <c r="E25" s="12" t="s">
        <v>60</v>
      </c>
      <c r="F25" s="18">
        <v>6</v>
      </c>
      <c r="G25" s="9"/>
    </row>
    <row r="26" spans="1:7" x14ac:dyDescent="0.25">
      <c r="A26" s="10" t="s">
        <v>85</v>
      </c>
      <c r="B26" s="13" t="s">
        <v>86</v>
      </c>
      <c r="C26" s="13" t="s">
        <v>87</v>
      </c>
      <c r="D26" s="13" t="s">
        <v>88</v>
      </c>
      <c r="E26" s="13" t="s">
        <v>92</v>
      </c>
      <c r="F26" s="19"/>
      <c r="G26" s="11"/>
    </row>
    <row r="27" spans="1:7" x14ac:dyDescent="0.25">
      <c r="A27" s="10" t="s">
        <v>89</v>
      </c>
      <c r="B27" s="13" t="s">
        <v>90</v>
      </c>
      <c r="C27" s="13" t="s">
        <v>87</v>
      </c>
      <c r="D27" s="13" t="s">
        <v>91</v>
      </c>
      <c r="E27" s="13" t="s">
        <v>92</v>
      </c>
      <c r="F27" s="19"/>
      <c r="G27" s="11"/>
    </row>
    <row r="28" spans="1:7" x14ac:dyDescent="0.25">
      <c r="A28" s="10" t="s">
        <v>93</v>
      </c>
      <c r="B28" s="13" t="s">
        <v>94</v>
      </c>
      <c r="C28" s="13" t="s">
        <v>95</v>
      </c>
      <c r="D28" s="13" t="s">
        <v>96</v>
      </c>
      <c r="E28" s="13" t="s">
        <v>31</v>
      </c>
      <c r="F28" s="19"/>
      <c r="G28" s="11"/>
    </row>
    <row r="29" spans="1:7" x14ac:dyDescent="0.25">
      <c r="A29" s="10" t="s">
        <v>97</v>
      </c>
      <c r="B29" s="13" t="s">
        <v>98</v>
      </c>
      <c r="C29" s="13" t="s">
        <v>95</v>
      </c>
      <c r="D29" s="13" t="s">
        <v>99</v>
      </c>
      <c r="E29" s="13" t="s">
        <v>60</v>
      </c>
      <c r="F29" s="19"/>
      <c r="G29" s="1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90DB0-7DD4-4C42-8011-F05E685B7522}">
  <sheetPr>
    <tabColor rgb="FFFFFF00"/>
  </sheetPr>
  <dimension ref="A1:H19"/>
  <sheetViews>
    <sheetView defaultGridColor="0" colorId="22" workbookViewId="0">
      <pane ySplit="1" topLeftCell="A2" activePane="bottomLeft" state="frozen"/>
      <selection pane="bottomLeft" activeCell="E20" sqref="E20"/>
    </sheetView>
  </sheetViews>
  <sheetFormatPr defaultRowHeight="15" x14ac:dyDescent="0.25"/>
  <cols>
    <col min="1" max="1" width="13.140625" style="1" customWidth="1"/>
    <col min="2" max="2" width="13" style="2" customWidth="1"/>
    <col min="3" max="4" width="9.140625" style="1"/>
    <col min="5" max="5" width="18.42578125" bestFit="1" customWidth="1"/>
    <col min="6" max="6" width="7.42578125" style="1" customWidth="1"/>
    <col min="7" max="7" width="9" style="1" customWidth="1"/>
    <col min="8" max="8" width="28.85546875" bestFit="1" customWidth="1"/>
    <col min="11" max="11" width="8.85546875" customWidth="1"/>
    <col min="12" max="12" width="13.85546875" bestFit="1" customWidth="1"/>
  </cols>
  <sheetData>
    <row r="1" spans="1:8" s="1" customFormat="1" x14ac:dyDescent="0.25">
      <c r="A1" s="1" t="s">
        <v>8</v>
      </c>
      <c r="B1" s="2" t="s">
        <v>9</v>
      </c>
      <c r="C1" s="1" t="s">
        <v>0</v>
      </c>
      <c r="D1" s="1" t="s">
        <v>2</v>
      </c>
      <c r="E1" s="2" t="s">
        <v>3</v>
      </c>
      <c r="F1" s="1" t="s">
        <v>10</v>
      </c>
      <c r="G1" s="1" t="s">
        <v>1</v>
      </c>
      <c r="H1" s="2" t="s">
        <v>7</v>
      </c>
    </row>
    <row r="2" spans="1:8" x14ac:dyDescent="0.25">
      <c r="A2" s="1" t="s">
        <v>130</v>
      </c>
      <c r="B2" s="2" t="s">
        <v>127</v>
      </c>
      <c r="C2" s="2">
        <v>1</v>
      </c>
      <c r="D2" s="1" t="s">
        <v>125</v>
      </c>
      <c r="E2" s="2" t="str">
        <f>IFERROR(_xlfn.XLOOKUP(D2,tblkala[کد  کالا],tblkala[عنوان کالا],""),"")</f>
        <v>استاد C 100*3500</v>
      </c>
      <c r="F2" s="1">
        <v>300</v>
      </c>
      <c r="G2" s="1" t="str">
        <f>IFERROR(_xlfn.XLOOKUP(D2,tblkala[کد  کالا],tblkala[واحد],""),"")</f>
        <v>شاخه</v>
      </c>
      <c r="H2" s="2" t="s">
        <v>128</v>
      </c>
    </row>
    <row r="3" spans="1:8" x14ac:dyDescent="0.25">
      <c r="A3" s="1" t="s">
        <v>130</v>
      </c>
      <c r="B3" s="2" t="s">
        <v>127</v>
      </c>
      <c r="C3" s="2">
        <v>2</v>
      </c>
      <c r="D3" s="1" t="s">
        <v>125</v>
      </c>
      <c r="E3" s="2" t="str">
        <f>IFERROR(_xlfn.XLOOKUP(D3,tblkala[کد  کالا],tblkala[عنوان کالا],""),"")</f>
        <v>استاد C 100*3500</v>
      </c>
      <c r="F3" s="1">
        <v>750</v>
      </c>
      <c r="G3" s="1" t="str">
        <f>IFERROR(_xlfn.XLOOKUP(D3,tblkala[کد  کالا],tblkala[واحد],""),"")</f>
        <v>شاخه</v>
      </c>
      <c r="H3" s="2" t="s">
        <v>129</v>
      </c>
    </row>
    <row r="4" spans="1:8" x14ac:dyDescent="0.25">
      <c r="C4" s="2"/>
      <c r="E4" s="2"/>
      <c r="H4" s="2"/>
    </row>
    <row r="5" spans="1:8" x14ac:dyDescent="0.25">
      <c r="C5" s="2"/>
      <c r="E5" s="2"/>
      <c r="H5" s="2"/>
    </row>
    <row r="6" spans="1:8" x14ac:dyDescent="0.25">
      <c r="C6" s="2"/>
      <c r="E6" s="2"/>
      <c r="H6" s="2"/>
    </row>
    <row r="7" spans="1:8" x14ac:dyDescent="0.25">
      <c r="C7" s="2"/>
      <c r="E7" s="2"/>
      <c r="H7" s="2"/>
    </row>
    <row r="8" spans="1:8" x14ac:dyDescent="0.25">
      <c r="E8" s="2"/>
      <c r="H8" s="2"/>
    </row>
    <row r="9" spans="1:8" x14ac:dyDescent="0.25">
      <c r="E9" s="2"/>
      <c r="H9" s="2"/>
    </row>
    <row r="10" spans="1:8" x14ac:dyDescent="0.25">
      <c r="E10" s="2"/>
      <c r="H10" s="2"/>
    </row>
    <row r="11" spans="1:8" x14ac:dyDescent="0.25">
      <c r="E11" s="2"/>
      <c r="H11" s="2"/>
    </row>
    <row r="12" spans="1:8" x14ac:dyDescent="0.25">
      <c r="E12" s="2"/>
      <c r="H12" s="2"/>
    </row>
    <row r="13" spans="1:8" x14ac:dyDescent="0.25">
      <c r="E13" s="2"/>
      <c r="H13" s="2"/>
    </row>
    <row r="14" spans="1:8" x14ac:dyDescent="0.25">
      <c r="E14" s="2"/>
      <c r="H14" s="2"/>
    </row>
    <row r="15" spans="1:8" x14ac:dyDescent="0.25">
      <c r="E15" s="2"/>
      <c r="H15" s="2"/>
    </row>
    <row r="16" spans="1:8" x14ac:dyDescent="0.25">
      <c r="E16" s="2"/>
      <c r="H16" s="2"/>
    </row>
    <row r="17" spans="5:8" x14ac:dyDescent="0.25">
      <c r="E17" s="2"/>
      <c r="H17" s="2"/>
    </row>
    <row r="18" spans="5:8" x14ac:dyDescent="0.25">
      <c r="E18" s="2"/>
      <c r="H18" s="2"/>
    </row>
    <row r="19" spans="5:8" x14ac:dyDescent="0.25">
      <c r="E19" s="2"/>
      <c r="H19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0567F-A88E-4019-A9F4-77CC0E70D7D0}">
  <sheetPr>
    <tabColor rgb="FFFFFF00"/>
  </sheetPr>
  <dimension ref="A1:J6"/>
  <sheetViews>
    <sheetView tabSelected="1" defaultGridColor="0" colorId="22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1" width="12.140625" style="1" bestFit="1" customWidth="1"/>
    <col min="2" max="2" width="10.85546875" customWidth="1"/>
    <col min="3" max="3" width="7.42578125" style="1" bestFit="1" customWidth="1"/>
    <col min="4" max="4" width="11" customWidth="1"/>
    <col min="5" max="5" width="21.28515625" style="1" customWidth="1"/>
    <col min="6" max="6" width="7.5703125" style="1" bestFit="1" customWidth="1"/>
    <col min="7" max="7" width="7.140625" style="1" bestFit="1" customWidth="1"/>
    <col min="8" max="8" width="12.85546875" style="1" bestFit="1" customWidth="1"/>
    <col min="9" max="9" width="18.28515625" style="1" bestFit="1" customWidth="1"/>
    <col min="10" max="10" width="11.28515625" bestFit="1" customWidth="1"/>
  </cols>
  <sheetData>
    <row r="1" spans="1:10" s="1" customFormat="1" x14ac:dyDescent="0.25">
      <c r="A1" s="1" t="s">
        <v>13</v>
      </c>
      <c r="B1" s="1" t="s">
        <v>9</v>
      </c>
      <c r="C1" s="1" t="s">
        <v>0</v>
      </c>
      <c r="D1" s="1" t="s">
        <v>2</v>
      </c>
      <c r="E1" s="1" t="s">
        <v>3</v>
      </c>
      <c r="F1" s="1" t="s">
        <v>10</v>
      </c>
      <c r="G1" s="1" t="s">
        <v>1</v>
      </c>
      <c r="H1" s="1" t="s">
        <v>14</v>
      </c>
      <c r="I1" s="1" t="s">
        <v>106</v>
      </c>
      <c r="J1" s="1" t="s">
        <v>7</v>
      </c>
    </row>
    <row r="2" spans="1:10" x14ac:dyDescent="0.25">
      <c r="A2" s="1" t="s">
        <v>135</v>
      </c>
      <c r="B2" t="s">
        <v>127</v>
      </c>
      <c r="C2" s="1">
        <v>1</v>
      </c>
      <c r="D2" t="s">
        <v>42</v>
      </c>
      <c r="E2" s="1" t="str">
        <f>IFERROR(_xlfn.XLOOKUP(D2,tblkala[کد  کالا],tblkala[عنوان کالا],""),"")</f>
        <v>پیچ پنل 25 میلی TN25</v>
      </c>
      <c r="F2" s="1">
        <v>2</v>
      </c>
      <c r="G2" s="1" t="str">
        <f>IFERROR(_xlfn.XLOOKUP(D2,tblkala[کد  کالا],tblkala[واحد],""),"")</f>
        <v>بسته</v>
      </c>
      <c r="H2" s="1" t="s">
        <v>136</v>
      </c>
      <c r="I2" s="1" t="s">
        <v>137</v>
      </c>
      <c r="J2" t="s">
        <v>138</v>
      </c>
    </row>
    <row r="3" spans="1:10" x14ac:dyDescent="0.25">
      <c r="A3" s="1" t="s">
        <v>142</v>
      </c>
      <c r="B3" t="s">
        <v>140</v>
      </c>
      <c r="C3" s="1">
        <v>2</v>
      </c>
      <c r="D3" t="s">
        <v>42</v>
      </c>
      <c r="E3" s="1" t="str">
        <f>IFERROR(_xlfn.XLOOKUP(D3,tblkala[کد  کالا],tblkala[عنوان کالا],""),"")</f>
        <v>پیچ پنل 25 میلی TN25</v>
      </c>
      <c r="F3" s="1">
        <v>3</v>
      </c>
      <c r="G3" s="1" t="str">
        <f>IFERROR(_xlfn.XLOOKUP(D3,tblkala[کد  کالا],tblkala[واحد],""),"")</f>
        <v>بسته</v>
      </c>
      <c r="H3" s="1" t="s">
        <v>143</v>
      </c>
      <c r="I3" s="1" t="s">
        <v>137</v>
      </c>
      <c r="J3" t="s">
        <v>144</v>
      </c>
    </row>
    <row r="4" spans="1:10" x14ac:dyDescent="0.25">
      <c r="A4" s="1" t="s">
        <v>145</v>
      </c>
      <c r="B4" t="s">
        <v>141</v>
      </c>
      <c r="C4" s="1">
        <v>3</v>
      </c>
      <c r="D4" t="s">
        <v>42</v>
      </c>
      <c r="E4" s="1" t="str">
        <f>IFERROR(_xlfn.XLOOKUP(D4,tblkala[کد  کالا],tblkala[عنوان کالا],""),"")</f>
        <v>پیچ پنل 25 میلی TN25</v>
      </c>
      <c r="F4" s="1">
        <v>12</v>
      </c>
      <c r="G4" s="1" t="str">
        <f>IFERROR(_xlfn.XLOOKUP(D4,tblkala[کد  کالا],tblkala[واحد],""),"")</f>
        <v>بسته</v>
      </c>
      <c r="H4" s="1" t="s">
        <v>143</v>
      </c>
      <c r="I4" s="1" t="s">
        <v>137</v>
      </c>
      <c r="J4" t="s">
        <v>144</v>
      </c>
    </row>
    <row r="5" spans="1:10" x14ac:dyDescent="0.25">
      <c r="E5" s="1" t="str">
        <f>IFERROR(_xlfn.XLOOKUP(D5,tblkala[کد  کالا],tblkala[عنوان کالا],""),"")</f>
        <v/>
      </c>
      <c r="G5" s="1" t="str">
        <f>IFERROR(_xlfn.XLOOKUP(D5,tblkala[کد  کالا],tblkala[واحد],""),"")</f>
        <v/>
      </c>
    </row>
    <row r="6" spans="1:10" x14ac:dyDescent="0.25">
      <c r="E6" s="1" t="str">
        <f>IFERROR(_xlfn.XLOOKUP(D6,tblkala[کد  کالا],tblkala[عنوان کالا],""),"")</f>
        <v/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whole" operator="lessThanOrEqual" allowBlank="1" showInputMessage="1" showErrorMessage="1" xr:uid="{6884478C-849F-431D-B510-525223B851C7}">
          <x14:formula1>
            <xm:f>IFERROR(_xlfn.XLOOKUP(D2,موجودی!A:A,موجودی!H:H),0)</xm:f>
          </x14:formula1>
          <xm:sqref>F2:F40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8B558-CF57-42B5-A478-ACC85EE3D5DE}">
  <dimension ref="A1:J29"/>
  <sheetViews>
    <sheetView defaultGridColor="0" colorId="22" workbookViewId="0">
      <pane ySplit="1" topLeftCell="A8" activePane="bottomLeft" state="frozen"/>
      <selection pane="bottomLeft" activeCell="J1" sqref="J1"/>
    </sheetView>
  </sheetViews>
  <sheetFormatPr defaultRowHeight="15" x14ac:dyDescent="0.25"/>
  <cols>
    <col min="1" max="1" width="9" style="1" customWidth="1"/>
    <col min="2" max="2" width="23" style="2" bestFit="1" customWidth="1"/>
    <col min="3" max="3" width="18.85546875" style="2" customWidth="1"/>
    <col min="4" max="4" width="16.5703125" style="2" customWidth="1"/>
    <col min="5" max="5" width="9.140625" style="2" customWidth="1"/>
    <col min="6" max="6" width="11.42578125" style="2" customWidth="1"/>
    <col min="7" max="7" width="8.5703125" style="2" bestFit="1" customWidth="1"/>
    <col min="8" max="8" width="13.140625" style="2" customWidth="1"/>
    <col min="9" max="9" width="14.28515625" style="2" customWidth="1"/>
    <col min="10" max="10" width="12" style="1" customWidth="1"/>
  </cols>
  <sheetData>
    <row r="1" spans="1:10" s="1" customFormat="1" ht="19.5" customHeight="1" x14ac:dyDescent="0.25">
      <c r="A1" s="5" t="s">
        <v>100</v>
      </c>
      <c r="B1" s="2" t="s">
        <v>3</v>
      </c>
      <c r="C1" s="2" t="s">
        <v>4</v>
      </c>
      <c r="D1" s="2" t="s">
        <v>5</v>
      </c>
      <c r="E1" s="2" t="s">
        <v>1</v>
      </c>
      <c r="F1" s="2" t="s">
        <v>15</v>
      </c>
      <c r="G1" s="2" t="s">
        <v>16</v>
      </c>
      <c r="H1" s="1" t="s">
        <v>17</v>
      </c>
      <c r="I1" s="1" t="s">
        <v>6</v>
      </c>
      <c r="J1" s="1" t="s">
        <v>18</v>
      </c>
    </row>
    <row r="2" spans="1:10" x14ac:dyDescent="0.25">
      <c r="A2" s="17" t="s">
        <v>27</v>
      </c>
      <c r="B2" s="2" t="str">
        <f>IFERROR(_xlfn.XLOOKUP(A2,tblkala[کد  کالا],tblkala[عنوان کالا],""),"")</f>
        <v>استاد CW 75*3000</v>
      </c>
      <c r="C2" s="2" t="str">
        <f>IFERROR(_xlfn.XLOOKUP(A2,tblkala[کد  کالا],tblkala[گروه],""),"")</f>
        <v>کناف</v>
      </c>
      <c r="D2" s="2" t="str">
        <f>IFERROR(_xlfn.XLOOKUP(A2,tblkala[کد  کالا],tblkala[زیرگروه],""),"")</f>
        <v>استاد</v>
      </c>
      <c r="E2" s="2" t="str">
        <f>IFERROR(_xlfn.XLOOKUP(A2,tblkala[کد  کالا],tblkala[واحد],""),"")</f>
        <v>شاخه</v>
      </c>
      <c r="F2" s="2">
        <f>SUMIF(tblvorood[کد کالا],A2,tblvorood[مقدار])</f>
        <v>0</v>
      </c>
      <c r="G2" s="2">
        <f>SUMIF(tblkhorooj[کد کالا],A2,tblkhorooj[مقدار])</f>
        <v>0</v>
      </c>
      <c r="H2" s="2">
        <f>IFERROR(_xlfn.XLOOKUP(A2,tblMabna[کد کالا],tblMabna[مقدار مبنا],0)+F2-G2,0)</f>
        <v>0</v>
      </c>
      <c r="I2" s="2">
        <f>IFERROR(_xlfn.XLOOKUP(A2,tblkala[کد  کالا],tblkala[حداقل موجودی],""),"")</f>
        <v>0</v>
      </c>
      <c r="J2" s="1" t="str">
        <f>IF(H2&lt;=0,"تمام شده",IF(H2&lt;I2,"کم",""))</f>
        <v>تمام شده</v>
      </c>
    </row>
    <row r="3" spans="1:10" x14ac:dyDescent="0.25">
      <c r="A3" s="17" t="s">
        <v>32</v>
      </c>
      <c r="B3" s="2" t="str">
        <f>IFERROR(_xlfn.XLOOKUP(A3,tblkala[کد  کالا],tblkala[عنوان کالا],""),"")</f>
        <v>استاد CW 100*3000</v>
      </c>
      <c r="C3" s="2" t="str">
        <f>IFERROR(_xlfn.XLOOKUP(A3,tblkala[کد  کالا],tblkala[گروه],""),"")</f>
        <v>کناف</v>
      </c>
      <c r="D3" s="2" t="str">
        <f>IFERROR(_xlfn.XLOOKUP(A3,tblkala[کد  کالا],tblkala[زیرگروه],""),"")</f>
        <v>استاد</v>
      </c>
      <c r="E3" s="2" t="str">
        <f>IFERROR(_xlfn.XLOOKUP(A3,tblkala[کد  کالا],tblkala[واحد],""),"")</f>
        <v>شاخه</v>
      </c>
      <c r="F3" s="2">
        <f>SUMIF(tblvorood[کد کالا],A3,tblvorood[مقدار])</f>
        <v>0</v>
      </c>
      <c r="G3" s="2">
        <f>SUMIF(tblkhorooj[کد کالا],A3,tblkhorooj[مقدار])</f>
        <v>0</v>
      </c>
      <c r="H3" s="2">
        <f>IFERROR(_xlfn.XLOOKUP(A3,tblMabna[کد کالا],tblMabna[مقدار مبنا],0)+F3-G3,0)</f>
        <v>0</v>
      </c>
      <c r="I3" s="2">
        <f>IFERROR(_xlfn.XLOOKUP(A3,tblkala[کد  کالا],tblkala[حداقل موجودی],""),"")</f>
        <v>0</v>
      </c>
      <c r="J3" s="1" t="str">
        <f t="shared" ref="J3:J29" si="0">IF(H3&lt;=0,"تمام شده",IF(H3&lt;I3,"کم",""))</f>
        <v>تمام شده</v>
      </c>
    </row>
    <row r="4" spans="1:10" x14ac:dyDescent="0.25">
      <c r="A4" s="17" t="s">
        <v>33</v>
      </c>
      <c r="B4" s="2" t="str">
        <f>IFERROR(_xlfn.XLOOKUP(A4,tblkala[کد  کالا],tblkala[عنوان کالا],""),"")</f>
        <v>استاد C 70*3500</v>
      </c>
      <c r="C4" s="2" t="str">
        <f>IFERROR(_xlfn.XLOOKUP(A4,tblkala[کد  کالا],tblkala[گروه],""),"")</f>
        <v>کناف</v>
      </c>
      <c r="D4" s="2" t="str">
        <f>IFERROR(_xlfn.XLOOKUP(A4,tblkala[کد  کالا],tblkala[زیرگروه],""),"")</f>
        <v>استاد</v>
      </c>
      <c r="E4" s="2" t="str">
        <f>IFERROR(_xlfn.XLOOKUP(A4,tblkala[کد  کالا],tblkala[واحد],""),"")</f>
        <v>شاخه</v>
      </c>
      <c r="F4" s="2">
        <f>SUMIF(tblvorood[کد کالا],A4,tblvorood[مقدار])</f>
        <v>0</v>
      </c>
      <c r="G4" s="2">
        <f>SUMIF(tblkhorooj[کد کالا],A4,tblkhorooj[مقدار])</f>
        <v>0</v>
      </c>
      <c r="H4" s="2">
        <f>IFERROR(_xlfn.XLOOKUP(A4,tblMabna[کد کالا],tblMabna[مقدار مبنا],0)+F4-G4,0)</f>
        <v>0</v>
      </c>
      <c r="I4" s="2">
        <f>IFERROR(_xlfn.XLOOKUP(A4,tblkala[کد  کالا],tblkala[حداقل موجودی],""),"")</f>
        <v>0</v>
      </c>
      <c r="J4" s="1" t="str">
        <f t="shared" si="0"/>
        <v>تمام شده</v>
      </c>
    </row>
    <row r="5" spans="1:10" x14ac:dyDescent="0.25">
      <c r="A5" s="17" t="s">
        <v>36</v>
      </c>
      <c r="B5" s="2" t="str">
        <f>IFERROR(_xlfn.XLOOKUP(A5,tblkala[کد  کالا],tblkala[عنوان کالا],""),"")</f>
        <v>رانر UW 70*4000</v>
      </c>
      <c r="C5" s="2" t="str">
        <f>IFERROR(_xlfn.XLOOKUP(A5,tblkala[کد  کالا],tblkala[گروه],""),"")</f>
        <v>کناف</v>
      </c>
      <c r="D5" s="2" t="str">
        <f>IFERROR(_xlfn.XLOOKUP(A5,tblkala[کد  کالا],tblkala[زیرگروه],""),"")</f>
        <v>رانر</v>
      </c>
      <c r="E5" s="2" t="str">
        <f>IFERROR(_xlfn.XLOOKUP(A5,tblkala[کد  کالا],tblkala[واحد],""),"")</f>
        <v>شاخه</v>
      </c>
      <c r="F5" s="2">
        <f>SUMIF(tblvorood[کد کالا],A5,tblvorood[مقدار])</f>
        <v>0</v>
      </c>
      <c r="G5" s="2">
        <f>SUMIF(tblkhorooj[کد کالا],A5,tblkhorooj[مقدار])</f>
        <v>0</v>
      </c>
      <c r="H5" s="2">
        <f>IFERROR(_xlfn.XLOOKUP(A5,tblMabna[کد کالا],tblMabna[مقدار مبنا],0)+F5-G5,0)</f>
        <v>0</v>
      </c>
      <c r="I5" s="2">
        <f>IFERROR(_xlfn.XLOOKUP(A5,tblkala[کد  کالا],tblkala[حداقل موجودی],""),"")</f>
        <v>0</v>
      </c>
      <c r="J5" s="1" t="str">
        <f t="shared" si="0"/>
        <v>تمام شده</v>
      </c>
    </row>
    <row r="6" spans="1:10" x14ac:dyDescent="0.25">
      <c r="A6" s="17" t="s">
        <v>37</v>
      </c>
      <c r="B6" s="2" t="str">
        <f>IFERROR(_xlfn.XLOOKUP(A6,tblkala[کد  کالا],tblkala[عنوان کالا],""),"")</f>
        <v>رانر UW 75*4000</v>
      </c>
      <c r="C6" s="2" t="str">
        <f>IFERROR(_xlfn.XLOOKUP(A6,tblkala[کد  کالا],tblkala[گروه],""),"")</f>
        <v>کناف</v>
      </c>
      <c r="D6" s="2" t="str">
        <f>IFERROR(_xlfn.XLOOKUP(A6,tblkala[کد  کالا],tblkala[زیرگروه],""),"")</f>
        <v>رانر</v>
      </c>
      <c r="E6" s="2" t="str">
        <f>IFERROR(_xlfn.XLOOKUP(A6,tblkala[کد  کالا],tblkala[واحد],""),"")</f>
        <v>شاخه</v>
      </c>
      <c r="F6" s="2">
        <f>SUMIF(tblvorood[کد کالا],A6,tblvorood[مقدار])</f>
        <v>0</v>
      </c>
      <c r="G6" s="2">
        <f>SUMIF(tblkhorooj[کد کالا],A6,tblkhorooj[مقدار])</f>
        <v>0</v>
      </c>
      <c r="H6" s="2">
        <f>IFERROR(_xlfn.XLOOKUP(A6,tblMabna[کد کالا],tblMabna[مقدار مبنا],0)+F6-G6,0)</f>
        <v>0</v>
      </c>
      <c r="I6" s="2">
        <f>IFERROR(_xlfn.XLOOKUP(A6,tblkala[کد  کالا],tblkala[حداقل موجودی],""),"")</f>
        <v>0</v>
      </c>
      <c r="J6" s="1" t="str">
        <f t="shared" si="0"/>
        <v>تمام شده</v>
      </c>
    </row>
    <row r="7" spans="1:10" x14ac:dyDescent="0.25">
      <c r="A7" s="17" t="s">
        <v>38</v>
      </c>
      <c r="B7" s="2" t="str">
        <f>IFERROR(_xlfn.XLOOKUP(A7,tblkala[کد  کالا],tblkala[عنوان کالا],""),"")</f>
        <v>رانر UW 100*4000</v>
      </c>
      <c r="C7" s="2" t="str">
        <f>IFERROR(_xlfn.XLOOKUP(A7,tblkala[کد  کالا],tblkala[گروه],""),"")</f>
        <v>کناف</v>
      </c>
      <c r="D7" s="2" t="str">
        <f>IFERROR(_xlfn.XLOOKUP(A7,tblkala[کد  کالا],tblkala[زیرگروه],""),"")</f>
        <v>رانر</v>
      </c>
      <c r="E7" s="2" t="str">
        <f>IFERROR(_xlfn.XLOOKUP(A7,tblkala[کد  کالا],tblkala[واحد],""),"")</f>
        <v>شاخه</v>
      </c>
      <c r="F7" s="2">
        <f>SUMIF(tblvorood[کد کالا],A7,tblvorood[مقدار])</f>
        <v>0</v>
      </c>
      <c r="G7" s="2">
        <f>SUMIF(tblkhorooj[کد کالا],A7,tblkhorooj[مقدار])</f>
        <v>0</v>
      </c>
      <c r="H7" s="2">
        <f>IFERROR(_xlfn.XLOOKUP(A7,tblMabna[کد کالا],tblMabna[مقدار مبنا],0)+F7-G7,0)</f>
        <v>0</v>
      </c>
      <c r="I7" s="2">
        <f>IFERROR(_xlfn.XLOOKUP(A7,tblkala[کد  کالا],tblkala[حداقل موجودی],""),"")</f>
        <v>0</v>
      </c>
      <c r="J7" s="1" t="str">
        <f t="shared" si="0"/>
        <v>تمام شده</v>
      </c>
    </row>
    <row r="8" spans="1:10" x14ac:dyDescent="0.25">
      <c r="A8" s="17" t="s">
        <v>39</v>
      </c>
      <c r="B8" s="2" t="str">
        <f>IFERROR(_xlfn.XLOOKUP(A8,tblkala[کد  کالا],tblkala[عنوان کالا],""),"")</f>
        <v>پنل گچی 84 برگی MR_AK_H2</v>
      </c>
      <c r="C8" s="2" t="str">
        <f>IFERROR(_xlfn.XLOOKUP(A8,tblkala[کد  کالا],tblkala[گروه],""),"")</f>
        <v>کناف</v>
      </c>
      <c r="D8" s="2" t="str">
        <f>IFERROR(_xlfn.XLOOKUP(A8,tblkala[کد  کالا],tblkala[زیرگروه],""),"")</f>
        <v>پنل</v>
      </c>
      <c r="E8" s="2" t="str">
        <f>IFERROR(_xlfn.XLOOKUP(A8,tblkala[کد  کالا],tblkala[واحد],""),"")</f>
        <v>برگ</v>
      </c>
      <c r="F8" s="2">
        <f>SUMIF(tblvorood[کد کالا],A8,tblvorood[مقدار])</f>
        <v>0</v>
      </c>
      <c r="G8" s="2">
        <f>SUMIF(tblkhorooj[کد کالا],A8,tblkhorooj[مقدار])</f>
        <v>0</v>
      </c>
      <c r="H8" s="2">
        <f>IFERROR(_xlfn.XLOOKUP(A8,tblMabna[کد کالا],tblMabna[مقدار مبنا],0)+F8-G8,0)</f>
        <v>0</v>
      </c>
      <c r="I8" s="2">
        <f>IFERROR(_xlfn.XLOOKUP(A8,tblkala[کد  کالا],tblkala[حداقل موجودی],""),"")</f>
        <v>0</v>
      </c>
      <c r="J8" s="1" t="str">
        <f t="shared" si="0"/>
        <v>تمام شده</v>
      </c>
    </row>
    <row r="9" spans="1:10" x14ac:dyDescent="0.25">
      <c r="A9" s="17" t="s">
        <v>40</v>
      </c>
      <c r="B9" s="2" t="str">
        <f>IFERROR(_xlfn.XLOOKUP(A9,tblkala[کد  کالا],tblkala[عنوان کالا],""),"")</f>
        <v>پنل گچی 92 برگی RGPRO_AK</v>
      </c>
      <c r="C9" s="2" t="str">
        <f>IFERROR(_xlfn.XLOOKUP(A9,tblkala[کد  کالا],tblkala[گروه],""),"")</f>
        <v>کناف</v>
      </c>
      <c r="D9" s="2" t="str">
        <f>IFERROR(_xlfn.XLOOKUP(A9,tblkala[کد  کالا],tblkala[زیرگروه],""),"")</f>
        <v>پنل</v>
      </c>
      <c r="E9" s="2" t="str">
        <f>IFERROR(_xlfn.XLOOKUP(A9,tblkala[کد  کالا],tblkala[واحد],""),"")</f>
        <v>برگ</v>
      </c>
      <c r="F9" s="2">
        <f>SUMIF(tblvorood[کد کالا],A9,tblvorood[مقدار])</f>
        <v>0</v>
      </c>
      <c r="G9" s="2">
        <f>SUMIF(tblkhorooj[کد کالا],A9,tblkhorooj[مقدار])</f>
        <v>0</v>
      </c>
      <c r="H9" s="2">
        <f>IFERROR(_xlfn.XLOOKUP(A9,tblMabna[کد کالا],tblMabna[مقدار مبنا],0)+F9-G9,0)</f>
        <v>0</v>
      </c>
      <c r="I9" s="2">
        <f>IFERROR(_xlfn.XLOOKUP(A9,tblkala[کد  کالا],tblkala[حداقل موجودی],""),"")</f>
        <v>0</v>
      </c>
      <c r="J9" s="1" t="str">
        <f t="shared" si="0"/>
        <v>تمام شده</v>
      </c>
    </row>
    <row r="10" spans="1:10" x14ac:dyDescent="0.25">
      <c r="A10" s="17" t="s">
        <v>41</v>
      </c>
      <c r="B10" s="2" t="str">
        <f>IFERROR(_xlfn.XLOOKUP(A10,tblkala[کد  کالا],tblkala[عنوان کالا],""),"")</f>
        <v>پنل گچی 100 برگی جی برد</v>
      </c>
      <c r="C10" s="2" t="str">
        <f>IFERROR(_xlfn.XLOOKUP(A10,tblkala[کد  کالا],tblkala[گروه],""),"")</f>
        <v>کناف</v>
      </c>
      <c r="D10" s="2" t="str">
        <f>IFERROR(_xlfn.XLOOKUP(A10,tblkala[کد  کالا],tblkala[زیرگروه],""),"")</f>
        <v>پنل</v>
      </c>
      <c r="E10" s="2" t="str">
        <f>IFERROR(_xlfn.XLOOKUP(A10,tblkala[کد  کالا],tblkala[واحد],""),"")</f>
        <v>برگ</v>
      </c>
      <c r="F10" s="2">
        <f>SUMIF(tblvorood[کد کالا],A10,tblvorood[مقدار])</f>
        <v>0</v>
      </c>
      <c r="G10" s="2">
        <f>SUMIF(tblkhorooj[کد کالا],A10,tblkhorooj[مقدار])</f>
        <v>0</v>
      </c>
      <c r="H10" s="2">
        <f>IFERROR(_xlfn.XLOOKUP(A10,tblMabna[کد کالا],tblMabna[مقدار مبنا],0)+F10-G10,0)</f>
        <v>0</v>
      </c>
      <c r="I10" s="2">
        <f>IFERROR(_xlfn.XLOOKUP(A10,tblkala[کد  کالا],tblkala[حداقل موجودی],""),"")</f>
        <v>0</v>
      </c>
      <c r="J10" s="1" t="str">
        <f t="shared" si="0"/>
        <v>تمام شده</v>
      </c>
    </row>
    <row r="11" spans="1:10" x14ac:dyDescent="0.25">
      <c r="A11" s="17" t="s">
        <v>42</v>
      </c>
      <c r="B11" s="2" t="str">
        <f>IFERROR(_xlfn.XLOOKUP(A11,tblkala[کد  کالا],tblkala[عنوان کالا],""),"")</f>
        <v>پیچ پنل 25 میلی TN25</v>
      </c>
      <c r="C11" s="2" t="str">
        <f>IFERROR(_xlfn.XLOOKUP(A11,tblkala[کد  کالا],tblkala[گروه],""),"")</f>
        <v>کناف</v>
      </c>
      <c r="D11" s="2" t="str">
        <f>IFERROR(_xlfn.XLOOKUP(A11,tblkala[کد  کالا],tblkala[زیرگروه],""),"")</f>
        <v>پیچ پنل</v>
      </c>
      <c r="E11" s="2" t="str">
        <f>IFERROR(_xlfn.XLOOKUP(A11,tblkala[کد  کالا],tblkala[واحد],""),"")</f>
        <v>بسته</v>
      </c>
      <c r="F11" s="2">
        <f>SUMIF(tblvorood[کد کالا],A11,tblvorood[مقدار])</f>
        <v>0</v>
      </c>
      <c r="G11" s="2">
        <f>SUMIF(tblkhorooj[کد کالا],A11,tblkhorooj[مقدار])</f>
        <v>17</v>
      </c>
      <c r="H11" s="2">
        <f>IFERROR(_xlfn.XLOOKUP(A11,tblMabna[کد کالا],tblMabna[مقدار مبنا],0)+F11-G11,0)</f>
        <v>27</v>
      </c>
      <c r="I11" s="2">
        <f>IFERROR(_xlfn.XLOOKUP(A11,tblkala[کد  کالا],tblkala[حداقل موجودی],""),"")</f>
        <v>0</v>
      </c>
      <c r="J11" s="1" t="str">
        <f t="shared" si="0"/>
        <v/>
      </c>
    </row>
    <row r="12" spans="1:10" x14ac:dyDescent="0.25">
      <c r="A12" s="17" t="s">
        <v>43</v>
      </c>
      <c r="B12" s="2" t="str">
        <f>IFERROR(_xlfn.XLOOKUP(A12,tblkala[کد  کالا],tblkala[عنوان کالا],""),"")</f>
        <v>پیچ پنل 35 میلی TN35</v>
      </c>
      <c r="C12" s="2" t="str">
        <f>IFERROR(_xlfn.XLOOKUP(A12,tblkala[کد  کالا],tblkala[گروه],""),"")</f>
        <v>کناف</v>
      </c>
      <c r="D12" s="2" t="str">
        <f>IFERROR(_xlfn.XLOOKUP(A12,tblkala[کد  کالا],tblkala[زیرگروه],""),"")</f>
        <v>پیچ پنل</v>
      </c>
      <c r="E12" s="2" t="str">
        <f>IFERROR(_xlfn.XLOOKUP(A12,tblkala[کد  کالا],tblkala[واحد],""),"")</f>
        <v>بسته</v>
      </c>
      <c r="F12" s="2">
        <f>SUMIF(tblvorood[کد کالا],A12,tblvorood[مقدار])</f>
        <v>0</v>
      </c>
      <c r="G12" s="2">
        <f>SUMIF(tblkhorooj[کد کالا],B12,tblkhorooj[مقدار])</f>
        <v>0</v>
      </c>
      <c r="H12" s="2">
        <f>IFERROR(_xlfn.XLOOKUP(A12,tblMabna[کد کالا],tblMabna[مقدار مبنا],0)+F12-G12,0)</f>
        <v>37</v>
      </c>
      <c r="I12" s="2">
        <f>IFERROR(_xlfn.XLOOKUP(A12,tblkala[کد  کالا],tblkala[حداقل موجودی],""),"")</f>
        <v>0</v>
      </c>
      <c r="J12" s="1" t="str">
        <f t="shared" si="0"/>
        <v/>
      </c>
    </row>
    <row r="13" spans="1:10" x14ac:dyDescent="0.25">
      <c r="A13" s="17" t="s">
        <v>44</v>
      </c>
      <c r="B13" s="2" t="str">
        <f>IFERROR(_xlfn.XLOOKUP(A13,tblkala[کد  کالا],tblkala[عنوان کالا],""),"")</f>
        <v>پیچ سازه 3.5*9.5 VASSA</v>
      </c>
      <c r="C13" s="2" t="str">
        <f>IFERROR(_xlfn.XLOOKUP(A13,tblkala[کد  کالا],tblkala[گروه],""),"")</f>
        <v>کناف</v>
      </c>
      <c r="D13" s="2" t="str">
        <f>IFERROR(_xlfn.XLOOKUP(A13,tblkala[کد  کالا],tblkala[زیرگروه],""),"")</f>
        <v>پیچ سازه</v>
      </c>
      <c r="E13" s="2" t="str">
        <f>IFERROR(_xlfn.XLOOKUP(A13,tblkala[کد  کالا],tblkala[واحد],""),"")</f>
        <v>بسته</v>
      </c>
      <c r="F13" s="2">
        <f>SUMIF(tblvorood[کد کالا],A13,tblvorood[مقدار])</f>
        <v>0</v>
      </c>
      <c r="G13" s="2">
        <f>SUMIF(tblkhorooj[کد کالا],B13,tblkhorooj[مقدار])</f>
        <v>0</v>
      </c>
      <c r="H13" s="2">
        <f>IFERROR(_xlfn.XLOOKUP(A13,tblMabna[کد کالا],tblMabna[مقدار مبنا],0)+F13-G13,0)</f>
        <v>9</v>
      </c>
      <c r="I13" s="2">
        <f>IFERROR(_xlfn.XLOOKUP(A13,tblkala[کد  کالا],tblkala[حداقل موجودی],""),"")</f>
        <v>0</v>
      </c>
      <c r="J13" s="1" t="str">
        <f t="shared" si="0"/>
        <v/>
      </c>
    </row>
    <row r="14" spans="1:10" x14ac:dyDescent="0.25">
      <c r="A14" s="17" t="s">
        <v>45</v>
      </c>
      <c r="B14" s="2" t="str">
        <f>IFERROR(_xlfn.XLOOKUP(A14,tblkala[کد  کالا],tblkala[عنوان کالا],""),"")</f>
        <v>پیچ سرمته 3.5*9.5 SSB</v>
      </c>
      <c r="C14" s="2" t="str">
        <f>IFERROR(_xlfn.XLOOKUP(A14,tblkala[کد  کالا],tblkala[گروه],""),"")</f>
        <v>کناف</v>
      </c>
      <c r="D14" s="2" t="str">
        <f>IFERROR(_xlfn.XLOOKUP(A14,tblkala[کد  کالا],tblkala[زیرگروه],""),"")</f>
        <v>پیچ سرمته</v>
      </c>
      <c r="E14" s="2" t="str">
        <f>IFERROR(_xlfn.XLOOKUP(A14,tblkala[کد  کالا],tblkala[واحد],""),"")</f>
        <v>بسته</v>
      </c>
      <c r="F14" s="2">
        <f>SUMIF(tblvorood[کد کالا],A14,tblvorood[مقدار])</f>
        <v>0</v>
      </c>
      <c r="G14" s="2">
        <f>SUMIF(tblkhorooj[کد کالا],B14,tblkhorooj[مقدار])</f>
        <v>0</v>
      </c>
      <c r="H14" s="2">
        <f>IFERROR(_xlfn.XLOOKUP(A14,tblMabna[کد کالا],tblMabna[مقدار مبنا],0)+F14-G14,0)</f>
        <v>15</v>
      </c>
      <c r="I14" s="2">
        <f>IFERROR(_xlfn.XLOOKUP(A14,tblkala[کد  کالا],tblkala[حداقل موجودی],""),"")</f>
        <v>0</v>
      </c>
      <c r="J14" s="1" t="str">
        <f t="shared" si="0"/>
        <v/>
      </c>
    </row>
    <row r="15" spans="1:10" x14ac:dyDescent="0.25">
      <c r="A15" s="17" t="s">
        <v>46</v>
      </c>
      <c r="B15" s="2" t="str">
        <f>IFERROR(_xlfn.XLOOKUP(A15,tblkala[کد  کالا],tblkala[عنوان کالا],""),"")</f>
        <v>پیچ سرمته 3.5*9.5 LB</v>
      </c>
      <c r="C15" s="2" t="str">
        <f>IFERROR(_xlfn.XLOOKUP(A15,tblkala[کد  کالا],tblkala[گروه],""),"")</f>
        <v>کناف</v>
      </c>
      <c r="D15" s="2" t="str">
        <f>IFERROR(_xlfn.XLOOKUP(A15,tblkala[کد  کالا],tblkala[زیرگروه],""),"")</f>
        <v>پیچ سرمته</v>
      </c>
      <c r="E15" s="2" t="str">
        <f>IFERROR(_xlfn.XLOOKUP(A15,tblkala[کد  کالا],tblkala[واحد],""),"")</f>
        <v>بسته</v>
      </c>
      <c r="F15" s="2">
        <f>SUMIF(tblvorood[کد کالا],A15,tblvorood[مقدار])</f>
        <v>0</v>
      </c>
      <c r="G15" s="2">
        <f>SUMIF(tblkhorooj[کد کالا],B15,tblkhorooj[مقدار])</f>
        <v>0</v>
      </c>
      <c r="H15" s="2">
        <f>IFERROR(_xlfn.XLOOKUP(A15,tblMabna[کد کالا],tblMabna[مقدار مبنا],0)+F15-G15,0)</f>
        <v>4</v>
      </c>
      <c r="I15" s="2">
        <f>IFERROR(_xlfn.XLOOKUP(A15,tblkala[کد  کالا],tblkala[حداقل موجودی],""),"")</f>
        <v>0</v>
      </c>
      <c r="J15" s="1" t="str">
        <f t="shared" si="0"/>
        <v/>
      </c>
    </row>
    <row r="16" spans="1:10" x14ac:dyDescent="0.25">
      <c r="A16" s="17" t="s">
        <v>47</v>
      </c>
      <c r="B16" s="2" t="str">
        <f>IFERROR(_xlfn.XLOOKUP(A16,tblkala[کد  کالا],tblkala[عنوان کالا],""),"")</f>
        <v>پیچ سرمته 3.5*25 TB</v>
      </c>
      <c r="C16" s="2" t="str">
        <f>IFERROR(_xlfn.XLOOKUP(A16,tblkala[کد  کالا],tblkala[گروه],""),"")</f>
        <v>کناف</v>
      </c>
      <c r="D16" s="2" t="str">
        <f>IFERROR(_xlfn.XLOOKUP(A16,tblkala[کد  کالا],tblkala[زیرگروه],""),"")</f>
        <v>پیچ سرمته</v>
      </c>
      <c r="E16" s="2" t="str">
        <f>IFERROR(_xlfn.XLOOKUP(A16,tblkala[کد  کالا],tblkala[واحد],""),"")</f>
        <v>بسته</v>
      </c>
      <c r="F16" s="2">
        <f>SUMIF(tblvorood[کد کالا],A16,tblvorood[مقدار])</f>
        <v>0</v>
      </c>
      <c r="G16" s="2">
        <f>SUMIF(tblkhorooj[کد کالا],B16,tblkhorooj[مقدار])</f>
        <v>0</v>
      </c>
      <c r="H16" s="2">
        <f>IFERROR(_xlfn.XLOOKUP(A16,tblMabna[کد کالا],tblMabna[مقدار مبنا],0)+F16-G16,0)</f>
        <v>3</v>
      </c>
      <c r="I16" s="2">
        <f>IFERROR(_xlfn.XLOOKUP(A16,tblkala[کد  کالا],tblkala[حداقل موجودی],""),"")</f>
        <v>0</v>
      </c>
      <c r="J16" s="1" t="str">
        <f t="shared" si="0"/>
        <v/>
      </c>
    </row>
    <row r="17" spans="1:10" x14ac:dyDescent="0.25">
      <c r="A17" s="17" t="s">
        <v>68</v>
      </c>
      <c r="B17" s="2" t="str">
        <f>IFERROR(_xlfn.XLOOKUP(A17,tblkala[کد  کالا],tblkala[عنوان کالا],""),"")</f>
        <v>پیچ سرمته 3.5*45 TB</v>
      </c>
      <c r="C17" s="2" t="str">
        <f>IFERROR(_xlfn.XLOOKUP(A17,tblkala[کد  کالا],tblkala[گروه],""),"")</f>
        <v>کناف</v>
      </c>
      <c r="D17" s="2" t="str">
        <f>IFERROR(_xlfn.XLOOKUP(A17,tblkala[کد  کالا],tblkala[زیرگروه],""),"")</f>
        <v>پیچ سرمته</v>
      </c>
      <c r="E17" s="2" t="str">
        <f>IFERROR(_xlfn.XLOOKUP(A17,tblkala[کد  کالا],tblkala[واحد],""),"")</f>
        <v>بسته</v>
      </c>
      <c r="F17" s="2">
        <f>SUMIF(tblvorood[کد کالا],A17,tblvorood[مقدار])</f>
        <v>0</v>
      </c>
      <c r="G17" s="2">
        <f>SUMIF(tblkhorooj[کد کالا],B17,tblkhorooj[مقدار])</f>
        <v>0</v>
      </c>
      <c r="H17" s="2">
        <f>IFERROR(_xlfn.XLOOKUP(A17,tblMabna[کد کالا],tblMabna[مقدار مبنا],0)+F17-G17,0)</f>
        <v>3</v>
      </c>
      <c r="I17" s="2">
        <f>IFERROR(_xlfn.XLOOKUP(A17,tblkala[کد  کالا],tblkala[حداقل موجودی],""),"")</f>
        <v>0</v>
      </c>
      <c r="J17" s="1" t="str">
        <f t="shared" si="0"/>
        <v/>
      </c>
    </row>
    <row r="18" spans="1:10" x14ac:dyDescent="0.25">
      <c r="A18" s="17" t="s">
        <v>69</v>
      </c>
      <c r="B18" s="2" t="str">
        <f>IFERROR(_xlfn.XLOOKUP(A18,tblkala[کد  کالا],tblkala[عنوان کالا],""),"")</f>
        <v>میخ و چاشنی</v>
      </c>
      <c r="C18" s="2" t="str">
        <f>IFERROR(_xlfn.XLOOKUP(A18,tblkala[کد  کالا],tblkala[گروه],""),"")</f>
        <v>کناف</v>
      </c>
      <c r="D18" s="2" t="str">
        <f>IFERROR(_xlfn.XLOOKUP(A18,tblkala[کد  کالا],tblkala[زیرگروه],""),"")</f>
        <v>میخ و چاشنی</v>
      </c>
      <c r="E18" s="2" t="str">
        <f>IFERROR(_xlfn.XLOOKUP(A18,tblkala[کد  کالا],tblkala[واحد],""),"")</f>
        <v>بسته</v>
      </c>
      <c r="F18" s="2">
        <f>SUMIF(tblvorood[کد کالا],A18,tblvorood[مقدار])</f>
        <v>0</v>
      </c>
      <c r="G18" s="2">
        <f>SUMIF(tblkhorooj[کد کالا],B18,tblkhorooj[مقدار])</f>
        <v>0</v>
      </c>
      <c r="H18" s="2">
        <f>IFERROR(_xlfn.XLOOKUP(A18,tblMabna[کد کالا],tblMabna[مقدار مبنا],0)+F18-G18,0)</f>
        <v>36</v>
      </c>
      <c r="I18" s="2">
        <f>IFERROR(_xlfn.XLOOKUP(A18,tblkala[کد  کالا],tblkala[حداقل موجودی],""),"")</f>
        <v>0</v>
      </c>
      <c r="J18" s="1" t="str">
        <f t="shared" si="0"/>
        <v/>
      </c>
    </row>
    <row r="19" spans="1:10" x14ac:dyDescent="0.25">
      <c r="A19" s="20" t="s">
        <v>71</v>
      </c>
      <c r="B19" s="2" t="str">
        <f>IFERROR(_xlfn.XLOOKUP(A19,tblkala[کد  کالا],tblkala[عنوان کالا],""),"")</f>
        <v>صفحه استیل بر بزرگ</v>
      </c>
      <c r="C19" s="2" t="str">
        <f>IFERROR(_xlfn.XLOOKUP(A19,tblkala[کد  کالا],tblkala[گروه],""),"")</f>
        <v>ابزار و ملزومات  عمومی</v>
      </c>
      <c r="D19" s="2" t="str">
        <f>IFERROR(_xlfn.XLOOKUP(A19,tblkala[کد  کالا],tblkala[زیرگروه],""),"")</f>
        <v>صفحه برش</v>
      </c>
      <c r="E19" s="2" t="str">
        <f>IFERROR(_xlfn.XLOOKUP(A19,tblkala[کد  کالا],tblkala[واحد],""),"")</f>
        <v>عدد</v>
      </c>
      <c r="F19" s="2">
        <f>SUMIF(tblvorood[کد کالا],A19,tblvorood[مقدار])</f>
        <v>0</v>
      </c>
      <c r="G19" s="2">
        <f>SUMIF(tblkhorooj[کد کالا],B19,tblkhorooj[مقدار])</f>
        <v>0</v>
      </c>
      <c r="H19" s="2">
        <f>IFERROR(_xlfn.XLOOKUP(A19,tblMabna[کد کالا],tblMabna[مقدار مبنا],0)+F19-G19,0)</f>
        <v>15</v>
      </c>
      <c r="I19" s="2">
        <f>IFERROR(_xlfn.XLOOKUP(A19,tblkala[کد  کالا],tblkala[حداقل موجودی],""),"")</f>
        <v>0</v>
      </c>
      <c r="J19" s="1" t="str">
        <f t="shared" si="0"/>
        <v/>
      </c>
    </row>
    <row r="20" spans="1:10" x14ac:dyDescent="0.25">
      <c r="A20" s="20" t="s">
        <v>72</v>
      </c>
      <c r="B20" s="2" t="str">
        <f>IFERROR(_xlfn.XLOOKUP(A20,tblkala[کد  کالا],tblkala[عنوان کالا],""),"")</f>
        <v>صفحه ساب بزرگ</v>
      </c>
      <c r="C20" s="2" t="str">
        <f>IFERROR(_xlfn.XLOOKUP(A20,tblkala[کد  کالا],tblkala[گروه],""),"")</f>
        <v>ابزار و ملزومات  عمومی</v>
      </c>
      <c r="D20" s="2" t="str">
        <f>IFERROR(_xlfn.XLOOKUP(A20,tblkala[کد  کالا],tblkala[زیرگروه],""),"")</f>
        <v>صفحه ساب</v>
      </c>
      <c r="E20" s="2" t="str">
        <f>IFERROR(_xlfn.XLOOKUP(A20,tblkala[کد  کالا],tblkala[واحد],""),"")</f>
        <v>عدد</v>
      </c>
      <c r="F20" s="2">
        <f>SUMIF(tblvorood[کد کالا],A20,tblvorood[مقدار])</f>
        <v>0</v>
      </c>
      <c r="G20" s="2">
        <f>SUMIF(tblkhorooj[کد کالا],B20,tblkhorooj[مقدار])</f>
        <v>0</v>
      </c>
      <c r="H20" s="2">
        <f>IFERROR(_xlfn.XLOOKUP(A20,tblMabna[کد کالا],tblMabna[مقدار مبنا],0)+F20-G20,0)</f>
        <v>1</v>
      </c>
      <c r="I20" s="2">
        <f>IFERROR(_xlfn.XLOOKUP(A20,tblkala[کد  کالا],tblkala[حداقل موجودی],""),"")</f>
        <v>0</v>
      </c>
      <c r="J20" s="1" t="str">
        <f t="shared" si="0"/>
        <v/>
      </c>
    </row>
    <row r="21" spans="1:10" x14ac:dyDescent="0.25">
      <c r="A21" s="20" t="s">
        <v>73</v>
      </c>
      <c r="B21" s="2" t="str">
        <f>IFERROR(_xlfn.XLOOKUP(A21,tblkala[کد  کالا],tblkala[عنوان کالا],""),"")</f>
        <v>مته 4 شیار کوتاه نمره 10</v>
      </c>
      <c r="C21" s="2" t="str">
        <f>IFERROR(_xlfn.XLOOKUP(A21,tblkala[کد  کالا],tblkala[گروه],""),"")</f>
        <v>ابزار و ملزومات  عمومی</v>
      </c>
      <c r="D21" s="2" t="str">
        <f>IFERROR(_xlfn.XLOOKUP(A21,tblkala[کد  کالا],tblkala[زیرگروه],""),"")</f>
        <v xml:space="preserve">مته </v>
      </c>
      <c r="E21" s="2" t="str">
        <f>IFERROR(_xlfn.XLOOKUP(A21,tblkala[کد  کالا],tblkala[واحد],""),"")</f>
        <v>عدد</v>
      </c>
      <c r="F21" s="2">
        <f>SUMIF(tblvorood[کد کالا],A21,tblvorood[مقدار])</f>
        <v>0</v>
      </c>
      <c r="G21" s="2">
        <f>SUMIF(tblkhorooj[کد کالا],B21,tblkhorooj[مقدار])</f>
        <v>0</v>
      </c>
      <c r="H21" s="2">
        <f>IFERROR(_xlfn.XLOOKUP(A21,tblMabna[کد کالا],tblMabna[مقدار مبنا],0)+F21-G21,0)</f>
        <v>2</v>
      </c>
      <c r="I21" s="2">
        <f>IFERROR(_xlfn.XLOOKUP(A21,tblkala[کد  کالا],tblkala[حداقل موجودی],""),"")</f>
        <v>0</v>
      </c>
      <c r="J21" s="1" t="str">
        <f t="shared" si="0"/>
        <v/>
      </c>
    </row>
    <row r="22" spans="1:10" x14ac:dyDescent="0.25">
      <c r="A22" s="20" t="s">
        <v>74</v>
      </c>
      <c r="B22" s="2" t="str">
        <f>IFERROR(_xlfn.XLOOKUP(A22,tblkala[کد  کالا],tblkala[عنوان کالا],""),"")</f>
        <v>مته 4 شیار بلند نمره 10</v>
      </c>
      <c r="C22" s="2" t="str">
        <f>IFERROR(_xlfn.XLOOKUP(A22,tblkala[کد  کالا],tblkala[گروه],""),"")</f>
        <v>ابزار و ملزومات  عمومی</v>
      </c>
      <c r="D22" s="2" t="str">
        <f>IFERROR(_xlfn.XLOOKUP(A22,tblkala[کد  کالا],tblkala[زیرگروه],""),"")</f>
        <v>مته</v>
      </c>
      <c r="E22" s="2" t="str">
        <f>IFERROR(_xlfn.XLOOKUP(A22,tblkala[کد  کالا],tblkala[واحد],""),"")</f>
        <v>عدد</v>
      </c>
      <c r="F22" s="2">
        <f>SUMIF(tblvorood[کد کالا],A22,tblvorood[مقدار])</f>
        <v>0</v>
      </c>
      <c r="G22" s="2">
        <f>SUMIF(tblkhorooj[کد کالا],B22,tblkhorooj[مقدار])</f>
        <v>0</v>
      </c>
      <c r="H22" s="2">
        <f>IFERROR(_xlfn.XLOOKUP(A22,tblMabna[کد کالا],tblMabna[مقدار مبنا],0)+F22-G22,0)</f>
        <v>2</v>
      </c>
      <c r="I22" s="2">
        <f>IFERROR(_xlfn.XLOOKUP(A22,tblkala[کد  کالا],tblkala[حداقل موجودی],""),"")</f>
        <v>0</v>
      </c>
      <c r="J22" s="1" t="str">
        <f t="shared" si="0"/>
        <v/>
      </c>
    </row>
    <row r="23" spans="1:10" x14ac:dyDescent="0.25">
      <c r="A23" s="20" t="s">
        <v>75</v>
      </c>
      <c r="B23" s="2" t="str">
        <f>IFERROR(_xlfn.XLOOKUP(A23,tblkala[کد  کالا],tblkala[عنوان کالا],""),"")</f>
        <v>دستکش کارگری روکشدار</v>
      </c>
      <c r="C23" s="2" t="str">
        <f>IFERROR(_xlfn.XLOOKUP(A23,tblkala[کد  کالا],tblkala[گروه],""),"")</f>
        <v>ابزار و ملزومات  عمومی</v>
      </c>
      <c r="D23" s="2" t="str">
        <f>IFERROR(_xlfn.XLOOKUP(A23,tblkala[کد  کالا],tblkala[زیرگروه],""),"")</f>
        <v>لوازم حفاظت فردی</v>
      </c>
      <c r="E23" s="2" t="str">
        <f>IFERROR(_xlfn.XLOOKUP(A23,tblkala[کد  کالا],tblkala[واحد],""),"")</f>
        <v>جفت</v>
      </c>
      <c r="F23" s="2">
        <f>SUMIF(tblvorood[کد کالا],A23,tblvorood[مقدار])</f>
        <v>0</v>
      </c>
      <c r="G23" s="2">
        <f>SUMIF(tblkhorooj[کد کالا],B23,tblkhorooj[مقدار])</f>
        <v>0</v>
      </c>
      <c r="H23" s="2">
        <f>IFERROR(_xlfn.XLOOKUP(A23,tblMabna[کد کالا],tblMabna[مقدار مبنا],0)+F23-G23,0)</f>
        <v>10</v>
      </c>
      <c r="I23" s="2">
        <f>IFERROR(_xlfn.XLOOKUP(A23,tblkala[کد  کالا],tblkala[حداقل موجودی],""),"")</f>
        <v>0</v>
      </c>
      <c r="J23" s="1" t="str">
        <f t="shared" si="0"/>
        <v/>
      </c>
    </row>
    <row r="24" spans="1:10" x14ac:dyDescent="0.25">
      <c r="A24" s="20" t="s">
        <v>107</v>
      </c>
      <c r="B24" s="2" t="str">
        <f>IFERROR(_xlfn.XLOOKUP(A24,tblkala[کد  کالا],tblkala[عنوان کالا],""),"")</f>
        <v>الکترود 3/2 میکا</v>
      </c>
      <c r="C24" s="2" t="str">
        <f>IFERROR(_xlfn.XLOOKUP(A24,tblkala[کد  کالا],tblkala[گروه],""),"")</f>
        <v>ابزار و ملزومات  عمومی</v>
      </c>
      <c r="D24" s="2" t="str">
        <f>IFERROR(_xlfn.XLOOKUP(A24,tblkala[کد  کالا],tblkala[زیرگروه],""),"")</f>
        <v>ملزومات جوشکاری</v>
      </c>
      <c r="E24" s="2" t="str">
        <f>IFERROR(_xlfn.XLOOKUP(A24,tblkala[کد  کالا],tblkala[واحد],""),"")</f>
        <v>بسته</v>
      </c>
      <c r="F24" s="2">
        <f>SUMIF(tblvorood[کد کالا],A24,tblvorood[مقدار])</f>
        <v>0</v>
      </c>
      <c r="G24" s="2">
        <f>SUMIF(tblkhorooj[کد کالا],B24,tblkhorooj[مقدار])</f>
        <v>0</v>
      </c>
      <c r="H24" s="2">
        <f>IFERROR(_xlfn.XLOOKUP(A24,tblMabna[کد کالا],tblMabna[مقدار مبنا],0)+F24-G24,0)</f>
        <v>5</v>
      </c>
      <c r="I24" s="2">
        <f>IFERROR(_xlfn.XLOOKUP(A24,tblkala[کد  کالا],tblkala[حداقل موجودی],""),"")</f>
        <v>6</v>
      </c>
      <c r="J24" s="1" t="str">
        <f t="shared" si="0"/>
        <v>کم</v>
      </c>
    </row>
    <row r="25" spans="1:10" x14ac:dyDescent="0.25">
      <c r="A25" s="20" t="s">
        <v>85</v>
      </c>
      <c r="B25" s="2" t="str">
        <f>IFERROR(_xlfn.XLOOKUP(A25,tblkala[کد  کالا],tblkala[عنوان کالا],""),"")</f>
        <v>ضد زنگ سناتور</v>
      </c>
      <c r="C25" s="2" t="str">
        <f>IFERROR(_xlfn.XLOOKUP(A25,tblkala[کد  کالا],tblkala[گروه],""),"")</f>
        <v>رنگ و نقاشی</v>
      </c>
      <c r="D25" s="2" t="str">
        <f>IFERROR(_xlfn.XLOOKUP(A25,tblkala[کد  کالا],tblkala[زیرگروه],""),"")</f>
        <v>ضد زنگ</v>
      </c>
      <c r="E25" s="2" t="str">
        <f>IFERROR(_xlfn.XLOOKUP(A25,tblkala[کد  کالا],tblkala[واحد],""),"")</f>
        <v>لیتر</v>
      </c>
      <c r="F25" s="2">
        <f>SUMIF(tblvorood[کد کالا],A25,tblvorood[مقدار])</f>
        <v>0</v>
      </c>
      <c r="G25" s="2">
        <f>SUMIF(tblkhorooj[کد کالا],B25,tblkhorooj[مقدار])</f>
        <v>0</v>
      </c>
      <c r="H25" s="2">
        <f>IFERROR(_xlfn.XLOOKUP(A25,tblMabna[کد کالا],tblMabna[مقدار مبنا],0)+F25-G25,0)</f>
        <v>0</v>
      </c>
      <c r="I25" s="2">
        <f>IFERROR(_xlfn.XLOOKUP(A25,tblkala[کد  کالا],tblkala[حداقل موجودی],""),"")</f>
        <v>0</v>
      </c>
      <c r="J25" s="1" t="str">
        <f t="shared" si="0"/>
        <v>تمام شده</v>
      </c>
    </row>
    <row r="26" spans="1:10" x14ac:dyDescent="0.25">
      <c r="A26" s="20" t="s">
        <v>89</v>
      </c>
      <c r="B26" s="2" t="str">
        <f>IFERROR(_xlfn.XLOOKUP(A26,tblkala[کد  کالا],tblkala[عنوان کالا],""),"")</f>
        <v>تینر</v>
      </c>
      <c r="C26" s="2" t="str">
        <f>IFERROR(_xlfn.XLOOKUP(A26,tblkala[کد  کالا],tblkala[گروه],""),"")</f>
        <v>رنگ و نقاشی</v>
      </c>
      <c r="D26" s="2" t="str">
        <f>IFERROR(_xlfn.XLOOKUP(A26,tblkala[کد  کالا],tblkala[زیرگروه],""),"")</f>
        <v>تینر و حلال</v>
      </c>
      <c r="E26" s="2" t="str">
        <f>IFERROR(_xlfn.XLOOKUP(A26,tblkala[کد  کالا],tblkala[واحد],""),"")</f>
        <v>لیتر</v>
      </c>
      <c r="F26" s="2">
        <f>SUMIF(tblvorood[کد کالا],A26,tblvorood[مقدار])</f>
        <v>0</v>
      </c>
      <c r="G26" s="2">
        <f>SUMIF(tblkhorooj[کد کالا],B26,tblkhorooj[مقدار])</f>
        <v>0</v>
      </c>
      <c r="H26" s="2">
        <f>IFERROR(_xlfn.XLOOKUP(A26,tblMabna[کد کالا],tblMabna[مقدار مبنا],0)+F26-G26,0)</f>
        <v>2</v>
      </c>
      <c r="I26" s="2">
        <f>IFERROR(_xlfn.XLOOKUP(A26,tblkala[کد  کالا],tblkala[حداقل موجودی],""),"")</f>
        <v>0</v>
      </c>
      <c r="J26" s="1" t="str">
        <f t="shared" si="0"/>
        <v/>
      </c>
    </row>
    <row r="27" spans="1:10" x14ac:dyDescent="0.25">
      <c r="A27" s="20" t="s">
        <v>93</v>
      </c>
      <c r="B27" s="2" t="str">
        <f>IFERROR(_xlfn.XLOOKUP(A27,tblkala[کد  کالا],tblkala[عنوان کالا],""),"")</f>
        <v>قوطی 40*80</v>
      </c>
      <c r="C27" s="2" t="str">
        <f>IFERROR(_xlfn.XLOOKUP(A27,tblkala[کد  کالا],tblkala[گروه],""),"")</f>
        <v>مصالح ساختمانی</v>
      </c>
      <c r="D27" s="2" t="str">
        <f>IFERROR(_xlfn.XLOOKUP(A27,tblkala[کد  کالا],tblkala[زیرگروه],""),"")</f>
        <v>مقاطع فولادی</v>
      </c>
      <c r="E27" s="2" t="str">
        <f>IFERROR(_xlfn.XLOOKUP(A27,tblkala[کد  کالا],tblkala[واحد],""),"")</f>
        <v>شاخه</v>
      </c>
      <c r="F27" s="2">
        <f>SUMIF(tblvorood[کد کالا],A27,tblvorood[مقدار])</f>
        <v>0</v>
      </c>
      <c r="G27" s="2">
        <f>SUMIF(tblkhorooj[کد کالا],B27,tblkhorooj[مقدار])</f>
        <v>0</v>
      </c>
      <c r="H27" s="2">
        <f>IFERROR(_xlfn.XLOOKUP(A27,tblMabna[کد کالا],tblMabna[مقدار مبنا],0)+F27-G27,0)</f>
        <v>0</v>
      </c>
      <c r="I27" s="2">
        <f>IFERROR(_xlfn.XLOOKUP(A27,tblkala[کد  کالا],tblkala[حداقل موجودی],""),"")</f>
        <v>0</v>
      </c>
      <c r="J27" s="1" t="str">
        <f t="shared" si="0"/>
        <v>تمام شده</v>
      </c>
    </row>
    <row r="28" spans="1:10" x14ac:dyDescent="0.25">
      <c r="A28" s="20" t="s">
        <v>97</v>
      </c>
      <c r="B28" s="2" t="str">
        <f>IFERROR(_xlfn.XLOOKUP(A28,tblkala[کد  کالا],tblkala[عنوان کالا],""),"")</f>
        <v>میخ 6 سانتی</v>
      </c>
      <c r="C28" s="2" t="str">
        <f>IFERROR(_xlfn.XLOOKUP(A28,tblkala[کد  کالا],tblkala[گروه],""),"")</f>
        <v>مصالح ساختمانی</v>
      </c>
      <c r="D28" s="2" t="str">
        <f>IFERROR(_xlfn.XLOOKUP(A28,tblkala[کد  کالا],tblkala[زیرگروه],""),"")</f>
        <v>میخ و متعلقات</v>
      </c>
      <c r="E28" s="2" t="str">
        <f>IFERROR(_xlfn.XLOOKUP(A28,tblkala[کد  کالا],tblkala[واحد],""),"")</f>
        <v>بسته</v>
      </c>
      <c r="F28" s="2">
        <f>SUMIF(tblvorood[کد کالا],A28,tblvorood[مقدار])</f>
        <v>0</v>
      </c>
      <c r="G28" s="2">
        <f>SUMIF(tblkhorooj[کد کالا],B28,tblkhorooj[مقدار])</f>
        <v>0</v>
      </c>
      <c r="H28" s="2">
        <f>IFERROR(_xlfn.XLOOKUP(A28,tblMabna[کد کالا],tblMabna[مقدار مبنا],0)+F28-G28,0)</f>
        <v>3</v>
      </c>
      <c r="I28" s="2">
        <f>IFERROR(_xlfn.XLOOKUP(A28,tblkala[کد  کالا],tblkala[حداقل موجودی],""),"")</f>
        <v>0</v>
      </c>
      <c r="J28" s="1" t="str">
        <f t="shared" si="0"/>
        <v/>
      </c>
    </row>
    <row r="29" spans="1:10" x14ac:dyDescent="0.25">
      <c r="A29" s="1" t="s">
        <v>125</v>
      </c>
      <c r="B29" s="2" t="str">
        <f>IFERROR(_xlfn.XLOOKUP(A29,tblkala[کد  کالا],tblkala[عنوان کالا],""),"")</f>
        <v>استاد C 100*3500</v>
      </c>
      <c r="C29" s="2" t="str">
        <f>IFERROR(_xlfn.XLOOKUP(A29,tblkala[کد  کالا],tblkala[گروه],""),"")</f>
        <v>کناف</v>
      </c>
      <c r="D29" s="2" t="str">
        <f>IFERROR(_xlfn.XLOOKUP(A29,tblkala[کد  کالا],tblkala[زیرگروه],""),"")</f>
        <v>استاد</v>
      </c>
      <c r="E29" s="2" t="str">
        <f>IFERROR(_xlfn.XLOOKUP(A29,tblkala[کد  کالا],tblkala[واحد],""),"")</f>
        <v>شاخه</v>
      </c>
      <c r="F29" s="2">
        <f>SUMIF(tblvorood[کد کالا],A29,tblvorood[مقدار])</f>
        <v>1050</v>
      </c>
      <c r="G29" s="2">
        <f>SUMIF(tblkhorooj[کد کالا],B29,tblkhorooj[مقدار])</f>
        <v>0</v>
      </c>
      <c r="H29" s="2">
        <f>IFERROR(_xlfn.XLOOKUP(A29,tblMabna[کد کالا],tblMabna[مقدار مبنا],0)+F29-G29,0)</f>
        <v>1050</v>
      </c>
      <c r="I29" s="2">
        <f>IFERROR(_xlfn.XLOOKUP(A29,tblkala[کد  کالا],tblkala[حداقل موجودی],""),"")</f>
        <v>0</v>
      </c>
      <c r="J29" s="1" t="str">
        <f t="shared" si="0"/>
        <v/>
      </c>
    </row>
  </sheetData>
  <autoFilter ref="A1:J29" xr:uid="{AB28B558-CF57-42B5-A478-ACC85EE3D5D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B07C2-ACAD-4C72-A11D-5A01F12648D1}">
  <sheetPr>
    <pageSetUpPr fitToPage="1"/>
  </sheetPr>
  <dimension ref="A1:E23"/>
  <sheetViews>
    <sheetView defaultGridColor="0" topLeftCell="A4" colorId="22" workbookViewId="0">
      <selection activeCell="G13" sqref="G13"/>
    </sheetView>
  </sheetViews>
  <sheetFormatPr defaultRowHeight="15" x14ac:dyDescent="0.25"/>
  <cols>
    <col min="1" max="1" width="5.85546875" bestFit="1" customWidth="1"/>
    <col min="2" max="2" width="21.140625" customWidth="1"/>
    <col min="3" max="3" width="8.7109375" customWidth="1"/>
    <col min="5" max="5" width="28.85546875" bestFit="1" customWidth="1"/>
  </cols>
  <sheetData>
    <row r="1" spans="1:5" ht="35.25" customHeight="1" x14ac:dyDescent="0.3">
      <c r="A1" s="49" t="s">
        <v>19</v>
      </c>
      <c r="B1" s="50"/>
      <c r="C1" s="50"/>
      <c r="D1" s="50"/>
      <c r="E1" s="50"/>
    </row>
    <row r="2" spans="1:5" ht="36.75" customHeight="1" x14ac:dyDescent="0.25">
      <c r="A2" s="51" t="s">
        <v>20</v>
      </c>
      <c r="B2" s="51"/>
      <c r="C2" s="51"/>
      <c r="D2" s="51"/>
      <c r="E2" s="51"/>
    </row>
    <row r="3" spans="1:5" x14ac:dyDescent="0.25">
      <c r="A3" s="48" t="s">
        <v>8</v>
      </c>
      <c r="B3" s="48"/>
      <c r="C3" s="52" t="s">
        <v>130</v>
      </c>
      <c r="D3" s="52"/>
      <c r="E3" s="52"/>
    </row>
    <row r="4" spans="1:5" x14ac:dyDescent="0.25">
      <c r="A4" s="48" t="s">
        <v>9</v>
      </c>
      <c r="B4" s="48"/>
      <c r="C4" s="48" t="str">
        <f>IFERROR(_xlfn.XLOOKUP(C3,tblvorood[شماره رسید],tblvorood[تاریخ],""),"")</f>
        <v>1405/06/17</v>
      </c>
      <c r="D4" s="48"/>
      <c r="E4" s="48"/>
    </row>
    <row r="6" spans="1:5" ht="21" customHeight="1" x14ac:dyDescent="0.25">
      <c r="A6" s="4" t="s">
        <v>0</v>
      </c>
      <c r="B6" s="4" t="s">
        <v>3</v>
      </c>
      <c r="C6" s="4" t="s">
        <v>10</v>
      </c>
      <c r="D6" s="4" t="s">
        <v>1</v>
      </c>
      <c r="E6" s="4" t="s">
        <v>7</v>
      </c>
    </row>
    <row r="7" spans="1:5" ht="18" customHeight="1" x14ac:dyDescent="0.25">
      <c r="A7" s="47" cm="1">
        <f t="array" ref="A7:A8">_xlfn._xlws.FILTER(tblvorood[ردیف],tblvorood[شماره رسید]=C3,"")</f>
        <v>1</v>
      </c>
      <c r="B7" s="47" t="str" cm="1">
        <f t="array" ref="B7:B8">_xlfn._xlws.FILTER(tblvorood[عنوان کالا],tblvorood[شماره رسید]=C3,"")</f>
        <v>استاد C 100*3500</v>
      </c>
      <c r="C7" s="47" cm="1">
        <f t="array" ref="C7:C8">_xlfn._xlws.FILTER(tblvorood[مقدار],tblvorood[شماره رسید]=C3,"")</f>
        <v>300</v>
      </c>
      <c r="D7" s="47" t="str" cm="1">
        <f t="array" ref="D7:D8">_xlfn._xlws.FILTER(tblvorood[واحد],tblvorood[شماره رسید]=C3,"")</f>
        <v>شاخه</v>
      </c>
      <c r="E7" s="47" t="str" cm="1">
        <f t="array" ref="E7:E8">_xlfn._xlws.FILTER(tblvorood[توضیحات],tblvorood[شماره رسید]=C3,"")</f>
        <v>برگ خروج انبار 3539 (1050 متر طول)</v>
      </c>
    </row>
    <row r="8" spans="1:5" ht="18" customHeight="1" x14ac:dyDescent="0.25">
      <c r="A8" s="47">
        <v>2</v>
      </c>
      <c r="B8" s="47" t="str">
        <v>استاد C 100*3500</v>
      </c>
      <c r="C8" s="47">
        <v>750</v>
      </c>
      <c r="D8" s="47" t="str">
        <v>شاخه</v>
      </c>
      <c r="E8" s="47" t="str">
        <v>برگ خروج انبار 3540 (2625 متر طول)</v>
      </c>
    </row>
    <row r="9" spans="1:5" ht="18" customHeight="1" x14ac:dyDescent="0.25">
      <c r="A9" s="47"/>
      <c r="B9" s="47"/>
      <c r="C9" s="47"/>
      <c r="D9" s="47"/>
      <c r="E9" s="47"/>
    </row>
    <row r="10" spans="1:5" ht="18" customHeight="1" x14ac:dyDescent="0.25">
      <c r="A10" s="47"/>
      <c r="B10" s="47"/>
      <c r="C10" s="47"/>
      <c r="D10" s="47"/>
      <c r="E10" s="47"/>
    </row>
    <row r="11" spans="1:5" ht="18" customHeight="1" x14ac:dyDescent="0.25">
      <c r="A11" s="47"/>
      <c r="B11" s="47"/>
      <c r="C11" s="47"/>
      <c r="D11" s="47"/>
      <c r="E11" s="47"/>
    </row>
    <row r="12" spans="1:5" ht="18" customHeight="1" x14ac:dyDescent="0.25">
      <c r="A12" s="47"/>
      <c r="B12" s="47"/>
      <c r="C12" s="47"/>
      <c r="D12" s="47"/>
      <c r="E12" s="47"/>
    </row>
    <row r="13" spans="1:5" ht="18" customHeight="1" x14ac:dyDescent="0.25">
      <c r="A13" s="47"/>
      <c r="B13" s="47"/>
      <c r="C13" s="47"/>
      <c r="D13" s="47"/>
      <c r="E13" s="47"/>
    </row>
    <row r="14" spans="1:5" ht="18" customHeight="1" x14ac:dyDescent="0.25">
      <c r="A14" s="47"/>
      <c r="B14" s="47"/>
      <c r="C14" s="47"/>
      <c r="D14" s="47"/>
      <c r="E14" s="47"/>
    </row>
    <row r="15" spans="1:5" ht="18" customHeight="1" x14ac:dyDescent="0.25">
      <c r="A15" s="47"/>
      <c r="B15" s="47"/>
      <c r="C15" s="47"/>
      <c r="D15" s="47"/>
      <c r="E15" s="47"/>
    </row>
    <row r="16" spans="1:5" ht="18" customHeight="1" x14ac:dyDescent="0.25">
      <c r="A16" s="47"/>
      <c r="B16" s="47"/>
      <c r="C16" s="47"/>
      <c r="D16" s="47"/>
      <c r="E16" s="47"/>
    </row>
    <row r="17" spans="1:5" ht="18" customHeight="1" x14ac:dyDescent="0.25">
      <c r="A17" s="47"/>
      <c r="B17" s="47"/>
      <c r="C17" s="47"/>
      <c r="D17" s="47"/>
      <c r="E17" s="47"/>
    </row>
    <row r="18" spans="1:5" ht="18" customHeight="1" x14ac:dyDescent="0.25">
      <c r="A18" s="47"/>
      <c r="B18" s="47"/>
      <c r="C18" s="47"/>
      <c r="D18" s="47"/>
      <c r="E18" s="47"/>
    </row>
    <row r="19" spans="1:5" ht="18" customHeight="1" x14ac:dyDescent="0.25">
      <c r="A19" s="47"/>
      <c r="B19" s="47"/>
      <c r="C19" s="47"/>
      <c r="D19" s="47"/>
      <c r="E19" s="47"/>
    </row>
    <row r="20" spans="1:5" ht="18" customHeight="1" x14ac:dyDescent="0.25">
      <c r="A20" s="47"/>
      <c r="B20" s="47"/>
      <c r="C20" s="47"/>
      <c r="D20" s="47"/>
      <c r="E20" s="47"/>
    </row>
    <row r="21" spans="1:5" ht="21" customHeight="1" x14ac:dyDescent="0.25"/>
    <row r="22" spans="1:5" x14ac:dyDescent="0.25">
      <c r="B22" s="1" t="s">
        <v>21</v>
      </c>
      <c r="C22" s="48" t="s">
        <v>22</v>
      </c>
      <c r="D22" s="48"/>
      <c r="E22" t="s">
        <v>23</v>
      </c>
    </row>
    <row r="23" spans="1:5" ht="61.5" x14ac:dyDescent="0.9">
      <c r="A23" s="3"/>
      <c r="B23" s="3"/>
      <c r="C23" s="3"/>
      <c r="D23" s="3"/>
      <c r="E23" s="3"/>
    </row>
  </sheetData>
  <mergeCells count="7">
    <mergeCell ref="C22:D22"/>
    <mergeCell ref="A1:E1"/>
    <mergeCell ref="A2:E2"/>
    <mergeCell ref="A3:B3"/>
    <mergeCell ref="C3:E3"/>
    <mergeCell ref="A4:B4"/>
    <mergeCell ref="C4:E4"/>
  </mergeCells>
  <printOptions horizontalCentered="1"/>
  <pageMargins left="0" right="0" top="0" bottom="0" header="0.3" footer="0"/>
  <pageSetup paperSize="11" scale="93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FFB2D64-3833-46C1-86CF-2E8837B80049}">
          <x14:formula1>
            <xm:f>'رسید انبار'!$A$2:$A$999</xm:f>
          </x14:formula1>
          <xm:sqref>C3:E3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1194A-5C5C-4825-952A-20269D526A8E}">
  <sheetPr>
    <pageSetUpPr fitToPage="1"/>
  </sheetPr>
  <dimension ref="A1:F24"/>
  <sheetViews>
    <sheetView defaultGridColor="0" colorId="22" workbookViewId="0">
      <selection activeCell="H4" sqref="H4"/>
    </sheetView>
  </sheetViews>
  <sheetFormatPr defaultRowHeight="15" x14ac:dyDescent="0.25"/>
  <cols>
    <col min="1" max="1" width="6.85546875" customWidth="1"/>
    <col min="2" max="2" width="11.5703125" customWidth="1"/>
    <col min="3" max="3" width="22.85546875" customWidth="1"/>
    <col min="4" max="4" width="10.42578125" customWidth="1"/>
    <col min="5" max="5" width="7.85546875" customWidth="1"/>
    <col min="6" max="6" width="23.7109375" customWidth="1"/>
  </cols>
  <sheetData>
    <row r="1" spans="1:6" ht="18.75" x14ac:dyDescent="0.3">
      <c r="A1" s="49" t="s">
        <v>19</v>
      </c>
      <c r="B1" s="49"/>
      <c r="C1" s="49"/>
      <c r="D1" s="49"/>
      <c r="E1" s="49"/>
      <c r="F1" s="49"/>
    </row>
    <row r="2" spans="1:6" ht="36.75" customHeight="1" x14ac:dyDescent="0.25">
      <c r="A2" s="51" t="s">
        <v>26</v>
      </c>
      <c r="B2" s="51"/>
      <c r="C2" s="51"/>
      <c r="D2" s="51"/>
      <c r="E2" s="51"/>
      <c r="F2" s="51"/>
    </row>
    <row r="3" spans="1:6" s="35" customFormat="1" ht="19.5" customHeight="1" x14ac:dyDescent="0.25">
      <c r="A3" s="55" t="s">
        <v>13</v>
      </c>
      <c r="B3" s="55"/>
      <c r="C3" s="56" t="s">
        <v>145</v>
      </c>
      <c r="D3" s="56"/>
      <c r="E3" s="56"/>
    </row>
    <row r="4" spans="1:6" s="16" customFormat="1" ht="38.25" customHeight="1" x14ac:dyDescent="0.25">
      <c r="A4" s="57" t="s">
        <v>9</v>
      </c>
      <c r="B4" s="57"/>
      <c r="C4" s="57" t="str">
        <f>IFERROR(_xlfn.XLOOKUP(C3,tblkhorooj[شماره حواله],tblkhorooj[تاریخ],""),"")</f>
        <v>1405/06/19</v>
      </c>
      <c r="D4" s="57"/>
      <c r="E4" s="57"/>
    </row>
    <row r="5" spans="1:6" x14ac:dyDescent="0.25">
      <c r="A5" s="53" t="s">
        <v>14</v>
      </c>
      <c r="B5" s="54"/>
      <c r="C5" s="17" t="str">
        <f>IFERROR(_xlfn.XLOOKUP($C$3,tblkhorooj[شماره حواله],tblkhorooj[تحویل گیرنده],""),"")</f>
        <v>تیم قهرمانی</v>
      </c>
      <c r="D5" s="9" t="s">
        <v>106</v>
      </c>
      <c r="E5" s="54" t="str">
        <f>IFERROR(_xlfn.XLOOKUP($C$3,tblkhorooj[شماره حواله],tblkhorooj[محل مصرف],""),"")</f>
        <v>طبقه اول</v>
      </c>
      <c r="F5" s="58"/>
    </row>
    <row r="7" spans="1:6" ht="25.5" customHeight="1" x14ac:dyDescent="0.25">
      <c r="A7" s="4" t="s">
        <v>0</v>
      </c>
      <c r="B7" s="4" t="s">
        <v>2</v>
      </c>
      <c r="C7" s="4" t="s">
        <v>3</v>
      </c>
      <c r="D7" s="4" t="s">
        <v>10</v>
      </c>
      <c r="E7" s="4" t="s">
        <v>1</v>
      </c>
      <c r="F7" s="4" t="s">
        <v>7</v>
      </c>
    </row>
    <row r="8" spans="1:6" s="36" customFormat="1" ht="18" customHeight="1" x14ac:dyDescent="0.25">
      <c r="A8" s="47" cm="1">
        <f t="array" ref="A8:F8">IFERROR(_xlfn._xlws.FILTER(_xlfn.CHOOSECOLS(tblkhorooj[],3,4,5,6,7,10),tblkhorooj[شماره حواله]=$C$3),"")</f>
        <v>3</v>
      </c>
      <c r="B8" s="47" t="str">
        <v>K010</v>
      </c>
      <c r="C8" s="47" t="str">
        <v>پیچ پنل 25 میلی TN25</v>
      </c>
      <c r="D8" s="47">
        <v>12</v>
      </c>
      <c r="E8" s="47" t="str">
        <v>بسته</v>
      </c>
      <c r="F8" s="47" t="str">
        <v>آزمایشی</v>
      </c>
    </row>
    <row r="9" spans="1:6" s="36" customFormat="1" ht="18" customHeight="1" x14ac:dyDescent="0.25">
      <c r="A9" s="47"/>
      <c r="B9" s="47"/>
      <c r="C9" s="47"/>
      <c r="D9" s="47"/>
      <c r="E9" s="47"/>
      <c r="F9" s="47"/>
    </row>
    <row r="10" spans="1:6" s="36" customFormat="1" ht="18" customHeight="1" x14ac:dyDescent="0.25">
      <c r="A10" s="47"/>
      <c r="B10" s="47"/>
      <c r="C10" s="47"/>
      <c r="D10" s="47"/>
      <c r="E10" s="47"/>
      <c r="F10" s="47"/>
    </row>
    <row r="11" spans="1:6" s="36" customFormat="1" ht="18" customHeight="1" x14ac:dyDescent="0.25">
      <c r="A11" s="47"/>
      <c r="B11" s="47"/>
      <c r="C11" s="47"/>
      <c r="D11" s="47"/>
      <c r="E11" s="47"/>
      <c r="F11" s="47"/>
    </row>
    <row r="12" spans="1:6" s="36" customFormat="1" ht="18" customHeight="1" x14ac:dyDescent="0.25">
      <c r="A12" s="47"/>
      <c r="B12" s="47"/>
      <c r="C12" s="47"/>
      <c r="D12" s="47"/>
      <c r="E12" s="47"/>
      <c r="F12" s="47"/>
    </row>
    <row r="13" spans="1:6" s="36" customFormat="1" ht="18" customHeight="1" x14ac:dyDescent="0.25">
      <c r="A13" s="47"/>
      <c r="B13" s="47"/>
      <c r="C13" s="47"/>
      <c r="D13" s="47"/>
      <c r="E13" s="47"/>
      <c r="F13" s="47"/>
    </row>
    <row r="14" spans="1:6" s="36" customFormat="1" ht="18" customHeight="1" x14ac:dyDescent="0.25">
      <c r="A14" s="47"/>
      <c r="B14" s="47"/>
      <c r="C14" s="47"/>
      <c r="D14" s="47"/>
      <c r="E14" s="47"/>
      <c r="F14" s="47"/>
    </row>
    <row r="15" spans="1:6" s="36" customFormat="1" ht="18" customHeight="1" x14ac:dyDescent="0.25">
      <c r="A15" s="47"/>
      <c r="B15" s="47"/>
      <c r="C15" s="47"/>
      <c r="D15" s="47"/>
      <c r="E15" s="47"/>
      <c r="F15" s="47"/>
    </row>
    <row r="16" spans="1:6" s="36" customFormat="1" ht="18" customHeight="1" x14ac:dyDescent="0.25">
      <c r="A16" s="47"/>
      <c r="B16" s="47"/>
      <c r="C16" s="47"/>
      <c r="D16" s="47"/>
      <c r="E16" s="47"/>
      <c r="F16" s="47"/>
    </row>
    <row r="17" spans="1:6" s="36" customFormat="1" ht="18" customHeight="1" x14ac:dyDescent="0.25">
      <c r="A17" s="47"/>
      <c r="B17" s="47"/>
      <c r="C17" s="47"/>
      <c r="D17" s="47"/>
      <c r="E17" s="47"/>
      <c r="F17" s="47"/>
    </row>
    <row r="18" spans="1:6" s="36" customFormat="1" ht="18" customHeight="1" x14ac:dyDescent="0.25">
      <c r="A18" s="47"/>
      <c r="B18" s="47"/>
      <c r="C18" s="47"/>
      <c r="D18" s="47"/>
      <c r="E18" s="47"/>
      <c r="F18" s="47"/>
    </row>
    <row r="19" spans="1:6" s="36" customFormat="1" ht="18" customHeight="1" x14ac:dyDescent="0.25">
      <c r="A19" s="47"/>
      <c r="B19" s="47"/>
      <c r="C19" s="47"/>
      <c r="D19" s="47"/>
      <c r="E19" s="47"/>
      <c r="F19" s="47"/>
    </row>
    <row r="20" spans="1:6" s="36" customFormat="1" ht="18" customHeight="1" x14ac:dyDescent="0.25">
      <c r="A20" s="47"/>
      <c r="B20" s="47"/>
      <c r="C20" s="47"/>
      <c r="D20" s="47"/>
      <c r="E20" s="47"/>
      <c r="F20" s="47"/>
    </row>
    <row r="21" spans="1:6" s="36" customFormat="1" ht="18" customHeight="1" x14ac:dyDescent="0.25">
      <c r="A21" s="47"/>
      <c r="B21" s="47"/>
      <c r="C21" s="47"/>
      <c r="D21" s="47"/>
      <c r="E21" s="47"/>
      <c r="F21" s="47"/>
    </row>
    <row r="22" spans="1:6" ht="30.75" customHeight="1" x14ac:dyDescent="0.25"/>
    <row r="23" spans="1:6" x14ac:dyDescent="0.25">
      <c r="A23" t="s">
        <v>21</v>
      </c>
      <c r="C23" s="1" t="s">
        <v>14</v>
      </c>
      <c r="E23" t="s">
        <v>22</v>
      </c>
      <c r="F23" s="2" t="s">
        <v>23</v>
      </c>
    </row>
    <row r="24" spans="1:6" ht="61.5" x14ac:dyDescent="0.9">
      <c r="A24" s="3"/>
      <c r="B24" s="3"/>
      <c r="C24" s="3"/>
      <c r="D24" s="3"/>
      <c r="E24" s="3"/>
    </row>
  </sheetData>
  <mergeCells count="8">
    <mergeCell ref="A5:B5"/>
    <mergeCell ref="A1:F1"/>
    <mergeCell ref="A2:F2"/>
    <mergeCell ref="A3:B3"/>
    <mergeCell ref="C3:E3"/>
    <mergeCell ref="A4:B4"/>
    <mergeCell ref="C4:E4"/>
    <mergeCell ref="E5:F5"/>
  </mergeCells>
  <printOptions horizontalCentered="1"/>
  <pageMargins left="0" right="0" top="0" bottom="0" header="0.3" footer="0"/>
  <pageSetup paperSize="11" scale="89" orientation="landscape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AC741A3-78D8-4434-B07F-BCEF6A201707}">
          <x14:formula1>
            <xm:f>'خروج انبار'!$A$2:$A$1000</xm:f>
          </x14:formula1>
          <xm:sqref>C3:E3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4819E-3FCA-4EA6-A8A9-68DD9AB8F8E8}">
  <dimension ref="A1:L36"/>
  <sheetViews>
    <sheetView defaultGridColor="0" topLeftCell="A4" colorId="22" workbookViewId="0">
      <selection activeCell="A13" sqref="A13"/>
    </sheetView>
  </sheetViews>
  <sheetFormatPr defaultRowHeight="15" x14ac:dyDescent="0.25"/>
  <cols>
    <col min="1" max="1" width="16" customWidth="1"/>
    <col min="2" max="2" width="23" bestFit="1" customWidth="1"/>
    <col min="3" max="3" width="12.140625" customWidth="1"/>
    <col min="4" max="4" width="9.140625" customWidth="1"/>
    <col min="7" max="7" width="15" style="2" customWidth="1"/>
    <col min="8" max="8" width="23" style="2" bestFit="1" customWidth="1"/>
    <col min="9" max="9" width="11.5703125" style="2" customWidth="1"/>
    <col min="10" max="10" width="10.140625" style="2" customWidth="1"/>
    <col min="11" max="11" width="9.140625" style="2"/>
    <col min="12" max="12" width="14.85546875" style="2" bestFit="1" customWidth="1"/>
    <col min="14" max="14" width="11" customWidth="1"/>
    <col min="15" max="15" width="12.42578125" customWidth="1"/>
    <col min="16" max="17" width="10.7109375" bestFit="1" customWidth="1"/>
    <col min="18" max="18" width="7.5703125" customWidth="1"/>
    <col min="19" max="19" width="14.85546875" bestFit="1" customWidth="1"/>
    <col min="20" max="20" width="11.28515625" bestFit="1" customWidth="1"/>
  </cols>
  <sheetData>
    <row r="1" spans="1:12" ht="26.25" x14ac:dyDescent="0.25">
      <c r="A1" s="59" t="s">
        <v>19</v>
      </c>
      <c r="B1" s="59"/>
      <c r="C1" s="59"/>
      <c r="D1" s="59"/>
      <c r="E1" s="59"/>
      <c r="G1" s="63" t="s">
        <v>19</v>
      </c>
      <c r="H1" s="63"/>
      <c r="I1" s="63"/>
      <c r="J1" s="63"/>
      <c r="K1" s="63"/>
      <c r="L1" s="63"/>
    </row>
    <row r="2" spans="1:12" ht="24.75" thickBot="1" x14ac:dyDescent="0.3">
      <c r="A2" s="60" t="s">
        <v>111</v>
      </c>
      <c r="B2" s="60"/>
      <c r="C2" s="60"/>
      <c r="D2" s="60"/>
      <c r="E2" s="60"/>
      <c r="G2" s="64" t="s">
        <v>111</v>
      </c>
      <c r="H2" s="64"/>
      <c r="I2" s="64"/>
      <c r="J2" s="64"/>
      <c r="K2" s="64"/>
      <c r="L2" s="64"/>
    </row>
    <row r="3" spans="1:12" ht="20.25" customHeight="1" x14ac:dyDescent="0.25"/>
    <row r="4" spans="1:12" ht="20.25" customHeight="1" thickBot="1" x14ac:dyDescent="0.6">
      <c r="A4" s="61" t="s">
        <v>112</v>
      </c>
      <c r="B4" s="61"/>
      <c r="C4" s="61"/>
      <c r="D4" s="61"/>
      <c r="E4" s="61"/>
      <c r="G4" s="62" t="s">
        <v>123</v>
      </c>
      <c r="H4" s="62"/>
      <c r="I4" s="62"/>
      <c r="J4" s="62"/>
      <c r="K4" s="62"/>
      <c r="L4" s="62"/>
    </row>
    <row r="5" spans="1:12" ht="19.5" x14ac:dyDescent="0.5">
      <c r="A5" s="21" t="s">
        <v>113</v>
      </c>
      <c r="B5" s="22" t="s">
        <v>114</v>
      </c>
      <c r="C5" s="22" t="s">
        <v>115</v>
      </c>
      <c r="D5" s="23" t="s">
        <v>116</v>
      </c>
      <c r="G5" s="37" t="s">
        <v>124</v>
      </c>
      <c r="H5" s="65" t="s">
        <v>57</v>
      </c>
      <c r="I5" s="65"/>
      <c r="J5" s="65"/>
      <c r="K5" s="65"/>
      <c r="L5" s="65"/>
    </row>
    <row r="6" spans="1:12" ht="19.5" customHeight="1" thickBot="1" x14ac:dyDescent="0.6">
      <c r="A6" s="24">
        <f>COUNTA(موجودی!A2:A1001)</f>
        <v>28</v>
      </c>
      <c r="B6" s="25">
        <f>COUNTIF(موجودی!J2:J1000,"مناسب")</f>
        <v>0</v>
      </c>
      <c r="C6" s="25">
        <f>COUNTIF(موجودی!J2:J1000,"کم")</f>
        <v>1</v>
      </c>
      <c r="D6" s="26">
        <f>COUNTIF(موجودی!J2:J1000,"تمام شده")</f>
        <v>11</v>
      </c>
      <c r="G6" s="38" t="s">
        <v>2</v>
      </c>
      <c r="H6" s="66" t="str">
        <f>IFERROR(_xlfn.XLOOKUP(H5,موجودی!B:B,موجودی!A:A),"")</f>
        <v>K010</v>
      </c>
      <c r="I6" s="66"/>
      <c r="J6" s="66"/>
      <c r="K6" s="66"/>
      <c r="L6" s="66"/>
    </row>
    <row r="7" spans="1:12" ht="20.25" customHeight="1" x14ac:dyDescent="0.25">
      <c r="G7" s="40"/>
      <c r="H7" s="39"/>
      <c r="I7" s="39"/>
      <c r="J7" s="39"/>
      <c r="K7" s="39"/>
      <c r="L7" s="43"/>
    </row>
    <row r="8" spans="1:12" ht="20.25" customHeight="1" thickBot="1" x14ac:dyDescent="0.3">
      <c r="A8" s="62" t="s">
        <v>117</v>
      </c>
      <c r="B8" s="62"/>
      <c r="C8" s="62"/>
      <c r="G8" s="41" t="s">
        <v>131</v>
      </c>
      <c r="H8" s="48">
        <f>IFERROR(_xlfn.XLOOKUP(H6,'موجودی مبنا'!A:A,'موجودی مبنا'!D:D),0)</f>
        <v>44</v>
      </c>
      <c r="I8" s="48"/>
      <c r="J8" s="48"/>
      <c r="K8" s="48"/>
      <c r="L8" s="67"/>
    </row>
    <row r="9" spans="1:12" ht="19.5" x14ac:dyDescent="0.25">
      <c r="A9" s="21" t="s">
        <v>8</v>
      </c>
      <c r="B9" s="22" t="s">
        <v>9</v>
      </c>
      <c r="C9" s="23" t="s">
        <v>118</v>
      </c>
      <c r="G9" s="41" t="s">
        <v>15</v>
      </c>
      <c r="H9" s="48">
        <f>SUMIF(tblvorood[کد کالا],H6,tblvorood[مقدار])</f>
        <v>0</v>
      </c>
      <c r="I9" s="48"/>
      <c r="J9" s="48"/>
      <c r="K9" s="48"/>
      <c r="L9" s="67"/>
    </row>
    <row r="10" spans="1:12" s="16" customFormat="1" ht="19.5" customHeight="1" thickBot="1" x14ac:dyDescent="0.3">
      <c r="A10" s="30" t="str" cm="1">
        <f t="array" ref="A10">INDEX(tblvorood[شماره رسید],COUNTA(tblvorood[شماره رسید]))</f>
        <v>R-050617-173</v>
      </c>
      <c r="B10" s="31" t="str" cm="1">
        <f t="array" ref="B10">INDEX(tblvorood[تاریخ],COUNTA(tblvorood[تاریخ]))</f>
        <v>1405/06/17</v>
      </c>
      <c r="C10" s="32">
        <f>COUNTA(tblvorood[کد کالا])</f>
        <v>2</v>
      </c>
      <c r="G10" s="42" t="s">
        <v>16</v>
      </c>
      <c r="H10" s="57">
        <f>SUMIF(tblkhorooj[کد کالا],H6,tblkhorooj[مقدار])</f>
        <v>17</v>
      </c>
      <c r="I10" s="57"/>
      <c r="J10" s="57"/>
      <c r="K10" s="57"/>
      <c r="L10" s="69"/>
    </row>
    <row r="11" spans="1:12" s="16" customFormat="1" ht="40.5" customHeight="1" thickBot="1" x14ac:dyDescent="0.6">
      <c r="A11" s="61" t="s">
        <v>119</v>
      </c>
      <c r="B11" s="61"/>
      <c r="C11" s="61"/>
      <c r="G11" s="42" t="s">
        <v>17</v>
      </c>
      <c r="H11" s="57">
        <f>H8+H9-H10</f>
        <v>27</v>
      </c>
      <c r="I11" s="57"/>
      <c r="J11" s="57"/>
      <c r="K11" s="57"/>
      <c r="L11" s="69"/>
    </row>
    <row r="12" spans="1:12" ht="19.5" x14ac:dyDescent="0.25">
      <c r="A12" s="21" t="s">
        <v>13</v>
      </c>
      <c r="B12" s="22" t="s">
        <v>9</v>
      </c>
      <c r="C12" s="23" t="s">
        <v>118</v>
      </c>
    </row>
    <row r="13" spans="1:12" ht="19.5" customHeight="1" thickBot="1" x14ac:dyDescent="0.3">
      <c r="A13" s="27" t="str" cm="1">
        <f t="array" ref="A13">IF(COUNTA(tblkhorooj[شماره حواله])=0,"",INDEX(tblkhorooj[شماره حواله],COUNTA(tblkhorooj[شماره حواله])))</f>
        <v>H-050617-3</v>
      </c>
      <c r="B13" s="28"/>
      <c r="C13" s="29"/>
    </row>
    <row r="14" spans="1:12" ht="40.5" customHeight="1" x14ac:dyDescent="0.55000000000000004">
      <c r="A14" s="61" t="s">
        <v>120</v>
      </c>
      <c r="B14" s="61"/>
      <c r="C14" s="61"/>
      <c r="D14" s="61"/>
      <c r="E14" s="61"/>
      <c r="G14" s="61" t="s">
        <v>132</v>
      </c>
      <c r="H14" s="61"/>
      <c r="I14" s="61"/>
      <c r="J14" s="61"/>
      <c r="K14" s="61"/>
      <c r="L14" s="61"/>
    </row>
    <row r="15" spans="1:12" ht="21" x14ac:dyDescent="0.25">
      <c r="A15" s="34" t="s">
        <v>2</v>
      </c>
      <c r="B15" s="34" t="s">
        <v>3</v>
      </c>
      <c r="C15" s="34" t="s">
        <v>121</v>
      </c>
      <c r="D15" s="34" t="s">
        <v>122</v>
      </c>
      <c r="E15" s="34" t="s">
        <v>18</v>
      </c>
      <c r="G15" s="33" t="s">
        <v>124</v>
      </c>
      <c r="H15" s="68" t="s">
        <v>57</v>
      </c>
      <c r="I15" s="68"/>
      <c r="J15" s="68"/>
      <c r="K15" s="68"/>
      <c r="L15" s="68"/>
    </row>
    <row r="16" spans="1:12" ht="19.5" x14ac:dyDescent="0.25">
      <c r="A16" s="36" t="str" cm="1">
        <f t="array" ref="A16:E27">_xlfn._xlws.FILTER(_xlfn.CHOOSECOLS(موجودی!A2:J1000,1,2,8,9,10),(موجودی!J2:J1000="کم")+(موجودی!J2:J1000="تمام شده"),"")</f>
        <v>K001</v>
      </c>
      <c r="B16" s="36" t="str">
        <v>استاد CW 75*3000</v>
      </c>
      <c r="C16" s="36">
        <v>0</v>
      </c>
      <c r="D16" s="36">
        <v>0</v>
      </c>
      <c r="E16" s="36" t="str">
        <v>تمام شده</v>
      </c>
      <c r="G16" s="34" t="s">
        <v>133</v>
      </c>
      <c r="H16" s="34" t="s">
        <v>134</v>
      </c>
      <c r="I16" s="34" t="s">
        <v>9</v>
      </c>
      <c r="J16" s="34" t="s">
        <v>10</v>
      </c>
      <c r="K16" s="34" t="s">
        <v>139</v>
      </c>
      <c r="L16" s="34" t="s">
        <v>7</v>
      </c>
    </row>
    <row r="17" spans="1:12" ht="19.5" customHeight="1" x14ac:dyDescent="0.25">
      <c r="A17" s="36" t="str">
        <v>K002</v>
      </c>
      <c r="B17" s="36" t="str">
        <v>استاد CW 100*3000</v>
      </c>
      <c r="C17" s="36">
        <v>0</v>
      </c>
      <c r="D17" s="36">
        <v>0</v>
      </c>
      <c r="E17" s="36" t="str">
        <v>تمام شده</v>
      </c>
      <c r="G17" s="45" t="str" cm="1">
        <f t="array" ref="G17:L20">_xlfn.LET(
_xlpm.کد,_xlfn.XLOOKUP($H$15,موجودی!B:B,موجودی!A:A),
_xlpm.تاریخ_مبنا,_xlfn.XLOOKUP(_xlpm.کد,tblMabna[کد کالا],tblMabna[تاریخ مبنا]),
_xlpm.مبنا,_xlfn._xlws.FILTER(
_xlfn.HSTACK(
IF(tblMabna[کد کالا]=_xlpm.کد,"موجودی مبنا",""),
IF(tblMabna[کد کالا]=_xlpm.کد,"-",""),
tblMabna[تاریخ مبنا],
tblMabna[مقدار مبنا],
IF(tblMabna[کد کالا]=_xlpm.کد,"-",""),
tblMabna[توضیحات]
),
tblMabna[کد کالا]=_xlpm.کد,
{"","","","","",""}
),
_xlpm.ورود,_xlfn._xlws.FILTER(
_xlfn.HSTACK(
IF(tblvorood[کد کالا]=_xlpm.کد,"ورود",""),
tblvorood[شماره رسید],
tblvorood[تاریخ],
tblvorood[مقدار],
IF(tblvorood[کد کالا]=_xlpm.کد,"-",""),
tblvorood[توضیحات]
),
(tblvorood[کد کالا]=_xlpm.کد)*(tblvorood[تاریخ]&gt;=_xlpm.تاریخ_مبنا),
{"","","","","",""}
),
_xlpm.خروج,_xlfn._xlws.FILTER(
_xlfn.HSTACK(
IF(tblkhorooj[کد کالا]=_xlpm.کد,"خروج",""),
tblkhorooj[شماره حواله],
tblkhorooj[تاریخ],
tblkhorooj[مقدار],
IF(tblkhorooj[کد کالا]=_xlpm.کد,"-",""),
tblkhorooj[توضیحات]
),
(tblkhorooj[کد کالا]=_xlpm.کد)*(tblkhorooj[تاریخ]&gt;=_xlpm.تاریخ_مبنا),
{"","","","","",""}
),
_xlpm.همه,_xlfn.VSTACK(_xlpm.مبنا,_xlpm.ورود,_xlpm.خروج),
_xlpm.پاک,_xlfn._xlws.FILTER(_xlpm.همه,_xlfn.CHOOSECOLS(_xlpm.همه,3)&lt;&gt;""),
_xlpm.مرتب,_xlfn.SORTBY(
_xlpm.پاک,
_xlfn.CHOOSECOLS(_xlpm.پاک,3),1,
IF(_xlfn.CHOOSECOLS(_xlpm.پاک,1)="موجودی مبنا",0,IF(_xlfn.CHOOSECOLS(_xlpm.پاک,1)="ورود",1,2)),1,
_xlfn.CHOOSECOLS(_xlpm.پاک,2),1
),
_xlpm.نوع,_xlfn.CHOOSECOLS(_xlpm.مرتب,1),
_xlpm.مقدار,_xlfn.CHOOSECOLS(_xlpm.مرتب,4),
_xlpm.مانده,_xlfn.SCAN(
0,
IF(_xlpm.نوع="موجودی مبنا",_xlpm.مقدار,IF(_xlpm.نوع="ورود",_xlpm.مقدار,-_xlpm.مقدار)),
_xlfn.LAMBDA(_xlpm.جمع,_xlpm.تغییر,_xlpm.جمع+_xlpm.تغییر)
),
_xlfn.HSTACK(
_xlfn.CHOOSECOLS(_xlpm.مرتب,1,2,3,4),
_xlpm.مانده,
_xlfn.CHOOSECOLS(_xlpm.مرتب,6)
)
)</f>
        <v>موجودی مبنا</v>
      </c>
      <c r="H17" s="39" t="str">
        <v>-</v>
      </c>
      <c r="I17" s="39" t="str">
        <v>1405/06/14</v>
      </c>
      <c r="J17" s="39">
        <v>44</v>
      </c>
      <c r="K17" s="39">
        <v>44</v>
      </c>
      <c r="L17" s="43" t="str">
        <v>هر بسته 1000 عدد</v>
      </c>
    </row>
    <row r="18" spans="1:12" ht="19.5" customHeight="1" x14ac:dyDescent="0.25">
      <c r="A18" s="36" t="str">
        <v>K003</v>
      </c>
      <c r="B18" s="36" t="str">
        <v>استاد C 70*3500</v>
      </c>
      <c r="C18" s="36">
        <v>0</v>
      </c>
      <c r="D18" s="36">
        <v>0</v>
      </c>
      <c r="E18" s="36" t="str">
        <v>تمام شده</v>
      </c>
      <c r="G18" s="46" t="str">
        <v>خروج</v>
      </c>
      <c r="H18" s="2" t="str">
        <v>H-050617-1</v>
      </c>
      <c r="I18" s="2" t="str">
        <v>1405/06/17</v>
      </c>
      <c r="J18" s="2">
        <v>2</v>
      </c>
      <c r="K18" s="2">
        <v>42</v>
      </c>
      <c r="L18" s="44" t="str">
        <v>خروج آزمایشی</v>
      </c>
    </row>
    <row r="19" spans="1:12" ht="19.5" customHeight="1" x14ac:dyDescent="0.25">
      <c r="A19" s="36" t="str">
        <v>K004</v>
      </c>
      <c r="B19" s="36" t="str">
        <v>رانر UW 70*4000</v>
      </c>
      <c r="C19" s="36">
        <v>0</v>
      </c>
      <c r="D19" s="36">
        <v>0</v>
      </c>
      <c r="E19" s="36" t="str">
        <v>تمام شده</v>
      </c>
      <c r="G19" s="46" t="str">
        <v>خروج</v>
      </c>
      <c r="H19" s="2" t="str">
        <v>H-050617-2</v>
      </c>
      <c r="I19" s="2" t="str">
        <v>1405/06/18</v>
      </c>
      <c r="J19" s="2">
        <v>3</v>
      </c>
      <c r="K19" s="2">
        <v>39</v>
      </c>
      <c r="L19" s="44" t="str">
        <v>آزمایشی</v>
      </c>
    </row>
    <row r="20" spans="1:12" ht="19.5" customHeight="1" x14ac:dyDescent="0.25">
      <c r="A20" s="36" t="str">
        <v>K005</v>
      </c>
      <c r="B20" s="36" t="str">
        <v>رانر UW 75*4000</v>
      </c>
      <c r="C20" s="36">
        <v>0</v>
      </c>
      <c r="D20" s="36">
        <v>0</v>
      </c>
      <c r="E20" s="36" t="str">
        <v>تمام شده</v>
      </c>
      <c r="G20" s="46" t="str">
        <v>خروج</v>
      </c>
      <c r="H20" s="2" t="str">
        <v>H-050617-3</v>
      </c>
      <c r="I20" s="2" t="str">
        <v>1405/06/19</v>
      </c>
      <c r="J20" s="2">
        <v>12</v>
      </c>
      <c r="K20" s="2">
        <v>27</v>
      </c>
      <c r="L20" s="44" t="str">
        <v>آزمایشی</v>
      </c>
    </row>
    <row r="21" spans="1:12" ht="19.5" customHeight="1" x14ac:dyDescent="0.25">
      <c r="A21" s="36" t="str">
        <v>K006</v>
      </c>
      <c r="B21" s="36" t="str">
        <v>رانر UW 100*4000</v>
      </c>
      <c r="C21" s="36">
        <v>0</v>
      </c>
      <c r="D21" s="36">
        <v>0</v>
      </c>
      <c r="E21" s="36" t="str">
        <v>تمام شده</v>
      </c>
      <c r="G21" s="46"/>
      <c r="L21" s="44"/>
    </row>
    <row r="22" spans="1:12" ht="19.5" customHeight="1" x14ac:dyDescent="0.25">
      <c r="A22" s="36" t="str">
        <v>K007</v>
      </c>
      <c r="B22" s="36" t="str">
        <v>پنل گچی 84 برگی MR_AK_H2</v>
      </c>
      <c r="C22" s="36">
        <v>0</v>
      </c>
      <c r="D22" s="36">
        <v>0</v>
      </c>
      <c r="E22" s="36" t="str">
        <v>تمام شده</v>
      </c>
      <c r="G22" s="46"/>
      <c r="L22" s="44"/>
    </row>
    <row r="23" spans="1:12" ht="19.5" customHeight="1" x14ac:dyDescent="0.25">
      <c r="A23" s="36" t="str">
        <v>K008</v>
      </c>
      <c r="B23" s="36" t="str">
        <v>پنل گچی 92 برگی RGPRO_AK</v>
      </c>
      <c r="C23" s="36">
        <v>0</v>
      </c>
      <c r="D23" s="36">
        <v>0</v>
      </c>
      <c r="E23" s="36" t="str">
        <v>تمام شده</v>
      </c>
      <c r="G23" s="46"/>
      <c r="L23" s="44"/>
    </row>
    <row r="24" spans="1:12" ht="19.5" customHeight="1" x14ac:dyDescent="0.25">
      <c r="A24" s="36" t="str">
        <v>K009</v>
      </c>
      <c r="B24" s="36" t="str">
        <v>پنل گچی 100 برگی جی برد</v>
      </c>
      <c r="C24" s="36">
        <v>0</v>
      </c>
      <c r="D24" s="36">
        <v>0</v>
      </c>
      <c r="E24" s="36" t="str">
        <v>تمام شده</v>
      </c>
    </row>
    <row r="25" spans="1:12" ht="19.5" customHeight="1" x14ac:dyDescent="0.25">
      <c r="A25" s="36" t="str">
        <v>T006</v>
      </c>
      <c r="B25" s="36" t="str">
        <v>الکترود 3/2 میکا</v>
      </c>
      <c r="C25" s="36">
        <v>5</v>
      </c>
      <c r="D25" s="36">
        <v>6</v>
      </c>
      <c r="E25" s="36" t="str">
        <v>کم</v>
      </c>
    </row>
    <row r="26" spans="1:12" ht="19.5" customHeight="1" x14ac:dyDescent="0.25">
      <c r="A26" s="36" t="str">
        <v>C001</v>
      </c>
      <c r="B26" s="36" t="str">
        <v>ضد زنگ سناتور</v>
      </c>
      <c r="C26" s="36">
        <v>0</v>
      </c>
      <c r="D26" s="36">
        <v>0</v>
      </c>
      <c r="E26" s="36" t="str">
        <v>تمام شده</v>
      </c>
    </row>
    <row r="27" spans="1:12" ht="19.5" customHeight="1" x14ac:dyDescent="0.25">
      <c r="A27" s="36" t="str">
        <v>S001</v>
      </c>
      <c r="B27" s="36" t="str">
        <v>قوطی 40*80</v>
      </c>
      <c r="C27" s="36">
        <v>0</v>
      </c>
      <c r="D27" s="36">
        <v>0</v>
      </c>
      <c r="E27" s="36" t="str">
        <v>تمام شده</v>
      </c>
    </row>
    <row r="28" spans="1:12" ht="18.75" customHeight="1" x14ac:dyDescent="0.25">
      <c r="A28" s="36"/>
      <c r="B28" s="36"/>
      <c r="C28" s="36"/>
      <c r="D28" s="36"/>
      <c r="E28" s="36"/>
    </row>
    <row r="29" spans="1:12" ht="18.75" customHeight="1" x14ac:dyDescent="0.25">
      <c r="A29" s="36"/>
      <c r="B29" s="36"/>
      <c r="C29" s="36"/>
      <c r="D29" s="36"/>
      <c r="E29" s="36"/>
    </row>
    <row r="30" spans="1:12" ht="18.75" customHeight="1" x14ac:dyDescent="0.25">
      <c r="A30" s="36"/>
      <c r="B30" s="36"/>
      <c r="C30" s="36"/>
      <c r="D30" s="36"/>
      <c r="E30" s="36"/>
    </row>
    <row r="31" spans="1:12" ht="18.75" customHeight="1" x14ac:dyDescent="0.25">
      <c r="A31" s="36"/>
      <c r="B31" s="36"/>
      <c r="C31" s="36"/>
      <c r="D31" s="36"/>
      <c r="E31" s="36"/>
    </row>
    <row r="32" spans="1:12" ht="18.75" customHeight="1" x14ac:dyDescent="0.25">
      <c r="A32" s="36"/>
      <c r="B32" s="36"/>
      <c r="C32" s="36"/>
      <c r="D32" s="36"/>
      <c r="E32" s="36"/>
    </row>
    <row r="33" spans="1:5" ht="18.75" customHeight="1" x14ac:dyDescent="0.25">
      <c r="A33" s="36"/>
      <c r="B33" s="36"/>
      <c r="C33" s="36"/>
      <c r="D33" s="36"/>
      <c r="E33" s="36"/>
    </row>
    <row r="34" spans="1:5" x14ac:dyDescent="0.25">
      <c r="A34" s="36"/>
      <c r="B34" s="36"/>
      <c r="C34" s="36"/>
      <c r="D34" s="36"/>
      <c r="E34" s="36"/>
    </row>
    <row r="35" spans="1:5" x14ac:dyDescent="0.25">
      <c r="A35" s="36"/>
      <c r="B35" s="36"/>
      <c r="C35" s="36"/>
      <c r="D35" s="36"/>
      <c r="E35" s="36"/>
    </row>
    <row r="36" spans="1:5" x14ac:dyDescent="0.25">
      <c r="A36" s="36"/>
      <c r="B36" s="36"/>
      <c r="C36" s="36"/>
      <c r="D36" s="36"/>
      <c r="E36" s="36"/>
    </row>
  </sheetData>
  <mergeCells count="17">
    <mergeCell ref="H15:L15"/>
    <mergeCell ref="A11:C11"/>
    <mergeCell ref="A14:E14"/>
    <mergeCell ref="G4:L4"/>
    <mergeCell ref="G14:L14"/>
    <mergeCell ref="H9:L9"/>
    <mergeCell ref="H10:L10"/>
    <mergeCell ref="H11:L11"/>
    <mergeCell ref="A1:E1"/>
    <mergeCell ref="A2:E2"/>
    <mergeCell ref="A4:E4"/>
    <mergeCell ref="A8:C8"/>
    <mergeCell ref="G1:L1"/>
    <mergeCell ref="G2:L2"/>
    <mergeCell ref="H5:L5"/>
    <mergeCell ref="H6:L6"/>
    <mergeCell ref="H8:L8"/>
  </mergeCell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30FC9EE-9985-44CB-A5F4-EEDE65BC8BD9}">
          <x14:formula1>
            <xm:f>موجودی!$B$2:$B$1000</xm:f>
          </x14:formula1>
          <xm:sqref>H5</xm:sqref>
        </x14:dataValidation>
        <x14:dataValidation type="list" allowBlank="1" showInputMessage="1" showErrorMessage="1" xr:uid="{645CEAAD-2FB8-4876-99C7-27084CBAAB6B}">
          <x14:formula1>
            <xm:f>موجودی!B$2:$B$1000</xm:f>
          </x14:formula1>
          <xm:sqref>H15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8BA78-A108-4C36-B45B-389B7C48E1BF}">
  <dimension ref="A1:F28"/>
  <sheetViews>
    <sheetView defaultGridColor="0" colorId="22" workbookViewId="0">
      <pane ySplit="1" topLeftCell="A2" activePane="bottomLeft" state="frozen"/>
      <selection pane="bottomLeft" activeCell="G8" sqref="G8"/>
    </sheetView>
  </sheetViews>
  <sheetFormatPr defaultRowHeight="15" x14ac:dyDescent="0.25"/>
  <cols>
    <col min="2" max="2" width="23" bestFit="1" customWidth="1"/>
    <col min="4" max="4" width="12" customWidth="1"/>
    <col min="5" max="5" width="13.140625" customWidth="1"/>
    <col min="6" max="6" width="18.7109375" customWidth="1"/>
  </cols>
  <sheetData>
    <row r="1" spans="1:6" x14ac:dyDescent="0.25">
      <c r="A1" s="5" t="s">
        <v>2</v>
      </c>
      <c r="B1" s="6" t="s">
        <v>3</v>
      </c>
      <c r="C1" s="6" t="s">
        <v>1</v>
      </c>
      <c r="D1" s="6" t="s">
        <v>101</v>
      </c>
      <c r="E1" s="6" t="s">
        <v>102</v>
      </c>
      <c r="F1" s="7" t="s">
        <v>7</v>
      </c>
    </row>
    <row r="2" spans="1:6" x14ac:dyDescent="0.25">
      <c r="A2" s="8" t="s">
        <v>27</v>
      </c>
      <c r="B2" s="12" t="s">
        <v>28</v>
      </c>
      <c r="C2" s="12" t="s">
        <v>31</v>
      </c>
      <c r="D2" s="13">
        <v>0</v>
      </c>
      <c r="E2" s="13" t="s">
        <v>103</v>
      </c>
      <c r="F2" s="14"/>
    </row>
    <row r="3" spans="1:6" x14ac:dyDescent="0.25">
      <c r="A3" s="8" t="s">
        <v>32</v>
      </c>
      <c r="B3" s="12" t="s">
        <v>34</v>
      </c>
      <c r="C3" s="12" t="s">
        <v>31</v>
      </c>
      <c r="D3" s="12">
        <v>0</v>
      </c>
      <c r="E3" s="13" t="s">
        <v>103</v>
      </c>
      <c r="F3" s="14"/>
    </row>
    <row r="4" spans="1:6" x14ac:dyDescent="0.25">
      <c r="A4" s="8" t="s">
        <v>33</v>
      </c>
      <c r="B4" s="12" t="s">
        <v>35</v>
      </c>
      <c r="C4" s="12" t="s">
        <v>31</v>
      </c>
      <c r="D4" s="13">
        <v>0</v>
      </c>
      <c r="E4" s="13" t="s">
        <v>103</v>
      </c>
      <c r="F4" s="14"/>
    </row>
    <row r="5" spans="1:6" x14ac:dyDescent="0.25">
      <c r="A5" s="8" t="s">
        <v>36</v>
      </c>
      <c r="B5" s="12" t="s">
        <v>48</v>
      </c>
      <c r="C5" s="12" t="s">
        <v>31</v>
      </c>
      <c r="D5" s="12">
        <v>0</v>
      </c>
      <c r="E5" s="13" t="s">
        <v>103</v>
      </c>
      <c r="F5" s="15"/>
    </row>
    <row r="6" spans="1:6" x14ac:dyDescent="0.25">
      <c r="A6" s="8" t="s">
        <v>37</v>
      </c>
      <c r="B6" s="13" t="s">
        <v>49</v>
      </c>
      <c r="C6" s="13" t="s">
        <v>31</v>
      </c>
      <c r="D6" s="12">
        <v>0</v>
      </c>
      <c r="E6" s="13" t="s">
        <v>103</v>
      </c>
      <c r="F6" s="15"/>
    </row>
    <row r="7" spans="1:6" x14ac:dyDescent="0.25">
      <c r="A7" s="8" t="s">
        <v>38</v>
      </c>
      <c r="B7" s="12" t="s">
        <v>50</v>
      </c>
      <c r="C7" s="12" t="s">
        <v>31</v>
      </c>
      <c r="D7" s="12">
        <v>0</v>
      </c>
      <c r="E7" s="13" t="s">
        <v>103</v>
      </c>
      <c r="F7" s="15"/>
    </row>
    <row r="8" spans="1:6" x14ac:dyDescent="0.25">
      <c r="A8" s="8" t="s">
        <v>39</v>
      </c>
      <c r="B8" s="12" t="s">
        <v>52</v>
      </c>
      <c r="C8" s="12" t="s">
        <v>56</v>
      </c>
      <c r="D8" s="12">
        <v>0</v>
      </c>
      <c r="E8" s="13" t="s">
        <v>103</v>
      </c>
      <c r="F8" s="15"/>
    </row>
    <row r="9" spans="1:6" x14ac:dyDescent="0.25">
      <c r="A9" s="8" t="s">
        <v>40</v>
      </c>
      <c r="B9" s="12" t="s">
        <v>53</v>
      </c>
      <c r="C9" s="12" t="s">
        <v>56</v>
      </c>
      <c r="D9" s="13">
        <v>0</v>
      </c>
      <c r="E9" s="13" t="s">
        <v>103</v>
      </c>
      <c r="F9" s="14"/>
    </row>
    <row r="10" spans="1:6" x14ac:dyDescent="0.25">
      <c r="A10" s="8" t="s">
        <v>41</v>
      </c>
      <c r="B10" s="12" t="s">
        <v>54</v>
      </c>
      <c r="C10" s="12" t="s">
        <v>56</v>
      </c>
      <c r="D10" s="13">
        <v>0</v>
      </c>
      <c r="E10" s="13" t="s">
        <v>103</v>
      </c>
      <c r="F10" s="14"/>
    </row>
    <row r="11" spans="1:6" x14ac:dyDescent="0.25">
      <c r="A11" s="8" t="s">
        <v>42</v>
      </c>
      <c r="B11" s="12" t="s">
        <v>57</v>
      </c>
      <c r="C11" s="12" t="s">
        <v>60</v>
      </c>
      <c r="D11" s="12">
        <v>44</v>
      </c>
      <c r="E11" s="13" t="s">
        <v>103</v>
      </c>
      <c r="F11" s="15" t="s">
        <v>104</v>
      </c>
    </row>
    <row r="12" spans="1:6" x14ac:dyDescent="0.25">
      <c r="A12" s="8" t="s">
        <v>43</v>
      </c>
      <c r="B12" s="12" t="s">
        <v>58</v>
      </c>
      <c r="C12" s="12" t="s">
        <v>60</v>
      </c>
      <c r="D12" s="12">
        <v>37</v>
      </c>
      <c r="E12" s="13" t="s">
        <v>103</v>
      </c>
      <c r="F12" s="15" t="s">
        <v>104</v>
      </c>
    </row>
    <row r="13" spans="1:6" x14ac:dyDescent="0.25">
      <c r="A13" s="8" t="s">
        <v>44</v>
      </c>
      <c r="B13" s="12" t="s">
        <v>61</v>
      </c>
      <c r="C13" s="12" t="s">
        <v>60</v>
      </c>
      <c r="D13" s="12">
        <v>9</v>
      </c>
      <c r="E13" s="13" t="s">
        <v>103</v>
      </c>
      <c r="F13" s="15" t="s">
        <v>104</v>
      </c>
    </row>
    <row r="14" spans="1:6" x14ac:dyDescent="0.25">
      <c r="A14" s="8" t="s">
        <v>45</v>
      </c>
      <c r="B14" s="12" t="s">
        <v>62</v>
      </c>
      <c r="C14" s="12" t="s">
        <v>60</v>
      </c>
      <c r="D14" s="12">
        <v>15</v>
      </c>
      <c r="E14" s="13" t="s">
        <v>103</v>
      </c>
      <c r="F14" s="15" t="s">
        <v>104</v>
      </c>
    </row>
    <row r="15" spans="1:6" x14ac:dyDescent="0.25">
      <c r="A15" s="8" t="s">
        <v>46</v>
      </c>
      <c r="B15" s="12" t="s">
        <v>63</v>
      </c>
      <c r="C15" s="12" t="s">
        <v>60</v>
      </c>
      <c r="D15" s="12">
        <v>4</v>
      </c>
      <c r="E15" s="13" t="s">
        <v>103</v>
      </c>
      <c r="F15" s="15" t="s">
        <v>104</v>
      </c>
    </row>
    <row r="16" spans="1:6" x14ac:dyDescent="0.25">
      <c r="A16" s="8" t="s">
        <v>47</v>
      </c>
      <c r="B16" s="12" t="s">
        <v>64</v>
      </c>
      <c r="C16" s="12" t="s">
        <v>60</v>
      </c>
      <c r="D16" s="12">
        <v>3</v>
      </c>
      <c r="E16" s="13" t="s">
        <v>103</v>
      </c>
      <c r="F16" s="15" t="s">
        <v>104</v>
      </c>
    </row>
    <row r="17" spans="1:6" x14ac:dyDescent="0.25">
      <c r="A17" s="8" t="s">
        <v>68</v>
      </c>
      <c r="B17" s="13" t="s">
        <v>65</v>
      </c>
      <c r="C17" s="13" t="s">
        <v>60</v>
      </c>
      <c r="D17" s="12">
        <v>3</v>
      </c>
      <c r="E17" s="13" t="s">
        <v>103</v>
      </c>
      <c r="F17" s="15" t="s">
        <v>104</v>
      </c>
    </row>
    <row r="18" spans="1:6" x14ac:dyDescent="0.25">
      <c r="A18" s="8" t="s">
        <v>69</v>
      </c>
      <c r="B18" s="12" t="s">
        <v>70</v>
      </c>
      <c r="C18" s="12" t="s">
        <v>60</v>
      </c>
      <c r="D18" s="12">
        <v>36</v>
      </c>
      <c r="E18" s="13" t="s">
        <v>103</v>
      </c>
      <c r="F18" s="15" t="s">
        <v>105</v>
      </c>
    </row>
    <row r="19" spans="1:6" x14ac:dyDescent="0.25">
      <c r="A19" s="10" t="s">
        <v>71</v>
      </c>
      <c r="B19" s="13" t="s">
        <v>76</v>
      </c>
      <c r="C19" s="13" t="s">
        <v>11</v>
      </c>
      <c r="D19" s="12">
        <v>15</v>
      </c>
      <c r="E19" s="13" t="s">
        <v>103</v>
      </c>
      <c r="F19" s="15"/>
    </row>
    <row r="20" spans="1:6" x14ac:dyDescent="0.25">
      <c r="A20" s="10" t="s">
        <v>72</v>
      </c>
      <c r="B20" s="13" t="s">
        <v>77</v>
      </c>
      <c r="C20" s="13" t="s">
        <v>11</v>
      </c>
      <c r="D20" s="12">
        <v>1</v>
      </c>
      <c r="E20" s="13" t="s">
        <v>103</v>
      </c>
      <c r="F20" s="15"/>
    </row>
    <row r="21" spans="1:6" x14ac:dyDescent="0.25">
      <c r="A21" s="10" t="s">
        <v>73</v>
      </c>
      <c r="B21" s="13" t="s">
        <v>78</v>
      </c>
      <c r="C21" s="13" t="s">
        <v>11</v>
      </c>
      <c r="D21" s="12">
        <v>2</v>
      </c>
      <c r="E21" s="13" t="s">
        <v>103</v>
      </c>
      <c r="F21" s="15"/>
    </row>
    <row r="22" spans="1:6" x14ac:dyDescent="0.25">
      <c r="A22" s="10" t="s">
        <v>74</v>
      </c>
      <c r="B22" s="12" t="s">
        <v>79</v>
      </c>
      <c r="C22" s="12" t="s">
        <v>11</v>
      </c>
      <c r="D22" s="12">
        <v>2</v>
      </c>
      <c r="E22" s="13" t="s">
        <v>103</v>
      </c>
      <c r="F22" s="15"/>
    </row>
    <row r="23" spans="1:6" x14ac:dyDescent="0.25">
      <c r="A23" s="10" t="s">
        <v>75</v>
      </c>
      <c r="B23" s="12" t="s">
        <v>24</v>
      </c>
      <c r="C23" s="12" t="s">
        <v>25</v>
      </c>
      <c r="D23" s="12">
        <v>10</v>
      </c>
      <c r="E23" s="13" t="s">
        <v>103</v>
      </c>
      <c r="F23" s="15"/>
    </row>
    <row r="24" spans="1:6" x14ac:dyDescent="0.25">
      <c r="A24" s="17" t="s">
        <v>107</v>
      </c>
      <c r="B24" s="12" t="s">
        <v>108</v>
      </c>
      <c r="C24" s="13" t="s">
        <v>60</v>
      </c>
      <c r="D24" s="12">
        <v>5</v>
      </c>
      <c r="E24" s="13" t="s">
        <v>103</v>
      </c>
      <c r="F24" s="15" t="s">
        <v>110</v>
      </c>
    </row>
    <row r="25" spans="1:6" x14ac:dyDescent="0.25">
      <c r="A25" s="10" t="s">
        <v>85</v>
      </c>
      <c r="B25" s="13" t="s">
        <v>86</v>
      </c>
      <c r="C25" s="13" t="s">
        <v>92</v>
      </c>
      <c r="D25" s="12">
        <v>0</v>
      </c>
      <c r="E25" s="13" t="s">
        <v>103</v>
      </c>
      <c r="F25" s="15"/>
    </row>
    <row r="26" spans="1:6" x14ac:dyDescent="0.25">
      <c r="A26" s="10" t="s">
        <v>89</v>
      </c>
      <c r="B26" s="13" t="s">
        <v>90</v>
      </c>
      <c r="C26" s="13" t="s">
        <v>92</v>
      </c>
      <c r="D26" s="12">
        <v>2</v>
      </c>
      <c r="E26" s="13" t="s">
        <v>103</v>
      </c>
      <c r="F26" s="15"/>
    </row>
    <row r="27" spans="1:6" x14ac:dyDescent="0.25">
      <c r="A27" s="10" t="s">
        <v>93</v>
      </c>
      <c r="B27" s="13" t="s">
        <v>94</v>
      </c>
      <c r="C27" s="13" t="s">
        <v>31</v>
      </c>
      <c r="D27" s="12">
        <v>0</v>
      </c>
      <c r="E27" s="13" t="s">
        <v>103</v>
      </c>
      <c r="F27" s="15"/>
    </row>
    <row r="28" spans="1:6" x14ac:dyDescent="0.25">
      <c r="A28" s="10" t="s">
        <v>97</v>
      </c>
      <c r="B28" s="13" t="s">
        <v>98</v>
      </c>
      <c r="C28" s="13" t="s">
        <v>60</v>
      </c>
      <c r="D28" s="12">
        <v>3</v>
      </c>
      <c r="E28" s="13" t="s">
        <v>103</v>
      </c>
      <c r="F28" s="15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کالاها</vt:lpstr>
      <vt:lpstr>رسید انبار</vt:lpstr>
      <vt:lpstr>خروج انبار</vt:lpstr>
      <vt:lpstr>موجودی</vt:lpstr>
      <vt:lpstr>فرم رسید</vt:lpstr>
      <vt:lpstr>فرم خروج</vt:lpstr>
      <vt:lpstr>گزارشات</vt:lpstr>
      <vt:lpstr>موجودی مبنا</vt:lpstr>
      <vt:lpstr>Codelist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cp:lastPrinted>2026-09-11T15:37:48Z</cp:lastPrinted>
  <dcterms:created xsi:type="dcterms:W3CDTF">2015-06-05T18:17:20Z</dcterms:created>
  <dcterms:modified xsi:type="dcterms:W3CDTF">2026-09-20T06:45:13Z</dcterms:modified>
</cp:coreProperties>
</file>